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апрелем\2018-2019\Псевдо сен2017\"/>
    </mc:Choice>
  </mc:AlternateContent>
  <xr:revisionPtr revIDLastSave="0" documentId="13_ncr:1_{6C194D50-B515-42AA-A6AB-835715F7E0F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1" l="1"/>
  <c r="O41" i="1" s="1"/>
  <c r="J41" i="1"/>
  <c r="I41" i="1"/>
  <c r="K41" i="1" s="1"/>
  <c r="H41" i="1"/>
  <c r="N40" i="1"/>
  <c r="O40" i="1" s="1"/>
  <c r="I40" i="1"/>
  <c r="K40" i="1" s="1"/>
  <c r="H40" i="1"/>
  <c r="J40" i="1" s="1"/>
  <c r="L40" i="1" s="1"/>
  <c r="N39" i="1"/>
  <c r="O39" i="1" s="1"/>
  <c r="I39" i="1"/>
  <c r="K39" i="1" s="1"/>
  <c r="H39" i="1"/>
  <c r="J39" i="1" s="1"/>
  <c r="L39" i="1" s="1"/>
  <c r="N38" i="1"/>
  <c r="O38" i="1" s="1"/>
  <c r="K38" i="1"/>
  <c r="I38" i="1"/>
  <c r="H38" i="1"/>
  <c r="J38" i="1" s="1"/>
  <c r="L38" i="1" s="1"/>
  <c r="N37" i="1"/>
  <c r="O37" i="1" s="1"/>
  <c r="I37" i="1"/>
  <c r="K37" i="1" s="1"/>
  <c r="H37" i="1"/>
  <c r="J37" i="1" s="1"/>
  <c r="L37" i="1" s="1"/>
  <c r="N36" i="1"/>
  <c r="O36" i="1" s="1"/>
  <c r="I36" i="1"/>
  <c r="K36" i="1" s="1"/>
  <c r="H36" i="1"/>
  <c r="J36" i="1" s="1"/>
  <c r="L36" i="1" s="1"/>
  <c r="N35" i="1"/>
  <c r="O35" i="1" s="1"/>
  <c r="I35" i="1"/>
  <c r="K35" i="1" s="1"/>
  <c r="H35" i="1"/>
  <c r="J35" i="1" s="1"/>
  <c r="L35" i="1" s="1"/>
  <c r="M35" i="1" s="1"/>
  <c r="M36" i="1" s="1"/>
  <c r="M37" i="1" s="1"/>
  <c r="M38" i="1" s="1"/>
  <c r="M39" i="1" s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L41" i="1" l="1"/>
  <c r="M40" i="1"/>
  <c r="M41" i="1" s="1"/>
</calcChain>
</file>

<file path=xl/sharedStrings.xml><?xml version="1.0" encoding="utf-8"?>
<sst xmlns="http://schemas.openxmlformats.org/spreadsheetml/2006/main" count="54" uniqueCount="14">
  <si>
    <t>time_unit</t>
  </si>
  <si>
    <t>real_treatment</t>
  </si>
  <si>
    <t>synthetic_control</t>
  </si>
  <si>
    <t>difference</t>
  </si>
  <si>
    <t>time_period</t>
  </si>
  <si>
    <t>period_type</t>
  </si>
  <si>
    <t>Pre-treatment</t>
  </si>
  <si>
    <t>Post-treatment</t>
  </si>
  <si>
    <t>Treatment</t>
  </si>
  <si>
    <t>Control</t>
  </si>
  <si>
    <t>Эффект</t>
  </si>
  <si>
    <t>Накоп эффект</t>
  </si>
  <si>
    <t>Накоп по формуле с отношением</t>
  </si>
  <si>
    <t>Эффект из накопа по формуле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</si>
</sst>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real_treatment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Sheet1!$G$2:$G$41</c:f>
              <c:numCache>
                <c:formatCode>m/d/yyyy</c:formatCode>
                <c:ptCount val="4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</c:numCache>
            </c:numRef>
          </c:cat>
          <c:val>
            <c:numRef>
              <c:f>Sheet1!$H$2:$H$41</c:f>
              <c:numCache>
                <c:formatCode>General</c:formatCode>
                <c:ptCount val="40"/>
                <c:pt idx="0">
                  <c:v>83.726896078718767</c:v>
                </c:pt>
                <c:pt idx="1">
                  <c:v>85.613842011558617</c:v>
                </c:pt>
                <c:pt idx="2">
                  <c:v>87.099199670131767</c:v>
                </c:pt>
                <c:pt idx="3">
                  <c:v>88.190596482688051</c:v>
                </c:pt>
                <c:pt idx="4">
                  <c:v>88.792262135741566</c:v>
                </c:pt>
                <c:pt idx="5">
                  <c:v>89.174680726431774</c:v>
                </c:pt>
                <c:pt idx="6">
                  <c:v>89.425390510214385</c:v>
                </c:pt>
                <c:pt idx="7">
                  <c:v>89.9009530712284</c:v>
                </c:pt>
                <c:pt idx="8">
                  <c:v>90.768150982705791</c:v>
                </c:pt>
                <c:pt idx="9">
                  <c:v>91.637085487744173</c:v>
                </c:pt>
                <c:pt idx="10">
                  <c:v>92.341155197207925</c:v>
                </c:pt>
                <c:pt idx="11">
                  <c:v>92.852822689845866</c:v>
                </c:pt>
                <c:pt idx="12">
                  <c:v>93.508184413649701</c:v>
                </c:pt>
                <c:pt idx="13">
                  <c:v>94.234533389671</c:v>
                </c:pt>
                <c:pt idx="14">
                  <c:v>95.074605602165704</c:v>
                </c:pt>
                <c:pt idx="15">
                  <c:v>95.681399582141424</c:v>
                </c:pt>
                <c:pt idx="16">
                  <c:v>96.193479473845471</c:v>
                </c:pt>
                <c:pt idx="17">
                  <c:v>96.548269315289986</c:v>
                </c:pt>
                <c:pt idx="18">
                  <c:v>96.8070472566544</c:v>
                </c:pt>
                <c:pt idx="19">
                  <c:v>97.106290001690397</c:v>
                </c:pt>
                <c:pt idx="20">
                  <c:v>97.532481419483631</c:v>
                </c:pt>
                <c:pt idx="21">
                  <c:v>97.918128656958075</c:v>
                </c:pt>
                <c:pt idx="22">
                  <c:v>98.268732586489691</c:v>
                </c:pt>
                <c:pt idx="23">
                  <c:v>98.534149515574413</c:v>
                </c:pt>
                <c:pt idx="24">
                  <c:v>98.773559663068738</c:v>
                </c:pt>
                <c:pt idx="25">
                  <c:v>98.934925805495226</c:v>
                </c:pt>
                <c:pt idx="26">
                  <c:v>99.187181313759737</c:v>
                </c:pt>
                <c:pt idx="27">
                  <c:v>99.329025970893198</c:v>
                </c:pt>
                <c:pt idx="28">
                  <c:v>99.436147622088399</c:v>
                </c:pt>
                <c:pt idx="29">
                  <c:v>99.617530791386017</c:v>
                </c:pt>
                <c:pt idx="30">
                  <c:v>99.684133060097963</c:v>
                </c:pt>
                <c:pt idx="31">
                  <c:v>99.822543290206127</c:v>
                </c:pt>
                <c:pt idx="32">
                  <c:v>100</c:v>
                </c:pt>
                <c:pt idx="33">
                  <c:v>100.27536775920321</c:v>
                </c:pt>
                <c:pt idx="34">
                  <c:v>100.4632828403784</c:v>
                </c:pt>
                <c:pt idx="35">
                  <c:v>100.5972409525105</c:v>
                </c:pt>
                <c:pt idx="36">
                  <c:v>100.80865154803169</c:v>
                </c:pt>
                <c:pt idx="37">
                  <c:v>100.95593401802961</c:v>
                </c:pt>
                <c:pt idx="38">
                  <c:v>101.10299481189699</c:v>
                </c:pt>
                <c:pt idx="39">
                  <c:v>101.3094056413389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8-4B82-9DF0-F15C19A1DDBC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synthetic_control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Sheet1!$G$2:$G$41</c:f>
              <c:numCache>
                <c:formatCode>m/d/yyyy</c:formatCode>
                <c:ptCount val="4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</c:numCache>
            </c:numRef>
          </c:cat>
          <c:val>
            <c:numRef>
              <c:f>Sheet1!$I$2:$I$41</c:f>
              <c:numCache>
                <c:formatCode>General</c:formatCode>
                <c:ptCount val="40"/>
                <c:pt idx="0">
                  <c:v>83.720911436144618</c:v>
                </c:pt>
                <c:pt idx="1">
                  <c:v>85.617999423079951</c:v>
                </c:pt>
                <c:pt idx="2">
                  <c:v>87.111655297846283</c:v>
                </c:pt>
                <c:pt idx="3">
                  <c:v>88.177231725143045</c:v>
                </c:pt>
                <c:pt idx="4">
                  <c:v>88.795080715826529</c:v>
                </c:pt>
                <c:pt idx="5">
                  <c:v>89.169456420368533</c:v>
                </c:pt>
                <c:pt idx="6">
                  <c:v>89.432320382885408</c:v>
                </c:pt>
                <c:pt idx="7">
                  <c:v>89.904364230615514</c:v>
                </c:pt>
                <c:pt idx="8">
                  <c:v>90.759520001681167</c:v>
                </c:pt>
                <c:pt idx="9">
                  <c:v>91.646051606030412</c:v>
                </c:pt>
                <c:pt idx="10">
                  <c:v>92.338405317252352</c:v>
                </c:pt>
                <c:pt idx="11">
                  <c:v>92.843427336765245</c:v>
                </c:pt>
                <c:pt idx="12">
                  <c:v>93.519257060606748</c:v>
                </c:pt>
                <c:pt idx="13">
                  <c:v>94.244124800798105</c:v>
                </c:pt>
                <c:pt idx="14">
                  <c:v>95.049341153872518</c:v>
                </c:pt>
                <c:pt idx="15">
                  <c:v>95.691254301167675</c:v>
                </c:pt>
                <c:pt idx="16">
                  <c:v>96.198143772265695</c:v>
                </c:pt>
                <c:pt idx="17">
                  <c:v>96.531954546219112</c:v>
                </c:pt>
                <c:pt idx="18">
                  <c:v>96.807438472251519</c:v>
                </c:pt>
                <c:pt idx="19">
                  <c:v>97.112283038332606</c:v>
                </c:pt>
                <c:pt idx="20">
                  <c:v>97.542768428632343</c:v>
                </c:pt>
                <c:pt idx="21">
                  <c:v>97.915869119554628</c:v>
                </c:pt>
                <c:pt idx="22">
                  <c:v>98.262147102160256</c:v>
                </c:pt>
                <c:pt idx="23">
                  <c:v>98.53536760088744</c:v>
                </c:pt>
                <c:pt idx="24">
                  <c:v>98.775333621141996</c:v>
                </c:pt>
                <c:pt idx="25">
                  <c:v>98.948486820307195</c:v>
                </c:pt>
                <c:pt idx="26">
                  <c:v>99.160874504441736</c:v>
                </c:pt>
                <c:pt idx="27">
                  <c:v>99.334070193392705</c:v>
                </c:pt>
                <c:pt idx="28">
                  <c:v>99.461352264110076</c:v>
                </c:pt>
                <c:pt idx="29">
                  <c:v>99.589388783343068</c:v>
                </c:pt>
                <c:pt idx="30">
                  <c:v>99.683387245954592</c:v>
                </c:pt>
                <c:pt idx="31">
                  <c:v>99.816376502122608</c:v>
                </c:pt>
                <c:pt idx="32">
                  <c:v>99.999999997260758</c:v>
                </c:pt>
                <c:pt idx="33">
                  <c:v>100.20659685522011</c:v>
                </c:pt>
                <c:pt idx="34">
                  <c:v>100.4510585298715</c:v>
                </c:pt>
                <c:pt idx="35">
                  <c:v>100.6002154225696</c:v>
                </c:pt>
                <c:pt idx="36">
                  <c:v>100.78272025425849</c:v>
                </c:pt>
                <c:pt idx="37">
                  <c:v>100.87666768770521</c:v>
                </c:pt>
                <c:pt idx="38">
                  <c:v>100.8937431971239</c:v>
                </c:pt>
                <c:pt idx="39">
                  <c:v>101.0632745094854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8-4B82-9DF0-F15C19A1D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232608"/>
        <c:axId val="303238016"/>
      </c:lineChart>
      <c:dateAx>
        <c:axId val="30323260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3238016"/>
        <c:crosses val="autoZero"/>
        <c:auto val="1"/>
        <c:lblOffset val="100"/>
        <c:baseTimeUnit val="months"/>
        <c:majorUnit val="12"/>
        <c:majorTimeUnit val="months"/>
      </c:dateAx>
      <c:valAx>
        <c:axId val="30323801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323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7143</xdr:colOff>
      <xdr:row>3</xdr:row>
      <xdr:rowOff>90488</xdr:rowOff>
    </xdr:from>
    <xdr:to>
      <xdr:col>16</xdr:col>
      <xdr:colOff>390525</xdr:colOff>
      <xdr:row>29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6F92BA-1A5D-4184-A9C3-54B5C378C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A13" workbookViewId="0">
      <selection activeCell="Q42" sqref="Q42"/>
    </sheetView>
  </sheetViews>
  <sheetFormatPr defaultRowHeight="14.25" x14ac:dyDescent="0.45"/>
  <cols>
    <col min="7" max="7" width="9.6640625" bestFit="1" customWidth="1"/>
    <col min="8" max="8" width="13.06640625" bestFit="1" customWidth="1"/>
    <col min="9" max="9" width="15" bestFit="1" customWidth="1"/>
    <col min="14" max="14" width="28.53125" bestFit="1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</v>
      </c>
      <c r="I1" s="1" t="s">
        <v>2</v>
      </c>
    </row>
    <row r="2" spans="1:9" x14ac:dyDescent="0.45">
      <c r="A2">
        <v>1</v>
      </c>
      <c r="B2">
        <v>0.8372689607871876</v>
      </c>
      <c r="C2">
        <v>0.83720911436144618</v>
      </c>
      <c r="D2">
        <v>5.9846425741416631E-5</v>
      </c>
      <c r="E2">
        <v>1</v>
      </c>
      <c r="F2" t="s">
        <v>6</v>
      </c>
      <c r="G2" s="2">
        <v>42005</v>
      </c>
      <c r="H2">
        <f>B2*100</f>
        <v>83.726896078718767</v>
      </c>
      <c r="I2">
        <f>C2*100</f>
        <v>83.720911436144618</v>
      </c>
    </row>
    <row r="3" spans="1:9" x14ac:dyDescent="0.45">
      <c r="A3">
        <v>2</v>
      </c>
      <c r="B3">
        <v>0.85613842011558616</v>
      </c>
      <c r="C3">
        <v>0.85617999423079949</v>
      </c>
      <c r="D3">
        <v>-4.1574115213327538E-5</v>
      </c>
      <c r="E3">
        <v>2</v>
      </c>
      <c r="F3" t="s">
        <v>6</v>
      </c>
      <c r="G3" s="2">
        <v>42036</v>
      </c>
      <c r="H3">
        <f t="shared" ref="H3:I35" si="0">B3*100</f>
        <v>85.613842011558617</v>
      </c>
      <c r="I3">
        <f t="shared" si="0"/>
        <v>85.617999423079951</v>
      </c>
    </row>
    <row r="4" spans="1:9" x14ac:dyDescent="0.45">
      <c r="A4">
        <v>3</v>
      </c>
      <c r="B4">
        <v>0.87099199670131766</v>
      </c>
      <c r="C4">
        <v>0.8711165529784628</v>
      </c>
      <c r="D4">
        <v>-1.2455627714513809E-4</v>
      </c>
      <c r="E4">
        <v>3</v>
      </c>
      <c r="F4" t="s">
        <v>6</v>
      </c>
      <c r="G4" s="2">
        <v>42064</v>
      </c>
      <c r="H4">
        <f t="shared" si="0"/>
        <v>87.099199670131767</v>
      </c>
      <c r="I4">
        <f t="shared" si="0"/>
        <v>87.111655297846283</v>
      </c>
    </row>
    <row r="5" spans="1:9" x14ac:dyDescent="0.45">
      <c r="A5">
        <v>4</v>
      </c>
      <c r="B5">
        <v>0.88190596482688044</v>
      </c>
      <c r="C5">
        <v>0.88177231725143046</v>
      </c>
      <c r="D5">
        <v>1.3364757544997999E-4</v>
      </c>
      <c r="E5">
        <v>4</v>
      </c>
      <c r="F5" t="s">
        <v>6</v>
      </c>
      <c r="G5" s="2">
        <v>42095</v>
      </c>
      <c r="H5">
        <f t="shared" si="0"/>
        <v>88.190596482688051</v>
      </c>
      <c r="I5">
        <f t="shared" si="0"/>
        <v>88.177231725143045</v>
      </c>
    </row>
    <row r="6" spans="1:9" x14ac:dyDescent="0.45">
      <c r="A6">
        <v>5</v>
      </c>
      <c r="B6">
        <v>0.88792262135741562</v>
      </c>
      <c r="C6">
        <v>0.88795080715826524</v>
      </c>
      <c r="D6">
        <v>-2.8185800849622741E-5</v>
      </c>
      <c r="E6">
        <v>5</v>
      </c>
      <c r="F6" t="s">
        <v>6</v>
      </c>
      <c r="G6" s="2">
        <v>42125</v>
      </c>
      <c r="H6">
        <f t="shared" si="0"/>
        <v>88.792262135741566</v>
      </c>
      <c r="I6">
        <f t="shared" si="0"/>
        <v>88.795080715826529</v>
      </c>
    </row>
    <row r="7" spans="1:9" x14ac:dyDescent="0.45">
      <c r="A7">
        <v>6</v>
      </c>
      <c r="B7">
        <v>0.89174680726431776</v>
      </c>
      <c r="C7">
        <v>0.89169456420368531</v>
      </c>
      <c r="D7">
        <v>5.2243060632450877E-5</v>
      </c>
      <c r="E7">
        <v>6</v>
      </c>
      <c r="F7" t="s">
        <v>6</v>
      </c>
      <c r="G7" s="2">
        <v>42156</v>
      </c>
      <c r="H7">
        <f t="shared" si="0"/>
        <v>89.174680726431774</v>
      </c>
      <c r="I7">
        <f t="shared" si="0"/>
        <v>89.169456420368533</v>
      </c>
    </row>
    <row r="8" spans="1:9" x14ac:dyDescent="0.45">
      <c r="A8">
        <v>7</v>
      </c>
      <c r="B8">
        <v>0.89425390510214386</v>
      </c>
      <c r="C8">
        <v>0.89432320382885411</v>
      </c>
      <c r="D8">
        <v>-6.9298726710242953E-5</v>
      </c>
      <c r="E8">
        <v>7</v>
      </c>
      <c r="F8" t="s">
        <v>6</v>
      </c>
      <c r="G8" s="2">
        <v>42186</v>
      </c>
      <c r="H8">
        <f t="shared" si="0"/>
        <v>89.425390510214385</v>
      </c>
      <c r="I8">
        <f t="shared" si="0"/>
        <v>89.432320382885408</v>
      </c>
    </row>
    <row r="9" spans="1:9" x14ac:dyDescent="0.45">
      <c r="A9">
        <v>8</v>
      </c>
      <c r="B9">
        <v>0.89900953071228396</v>
      </c>
      <c r="C9">
        <v>0.89904364230615508</v>
      </c>
      <c r="D9">
        <v>-3.4111593871122281E-5</v>
      </c>
      <c r="E9">
        <v>8</v>
      </c>
      <c r="F9" t="s">
        <v>6</v>
      </c>
      <c r="G9" s="2">
        <v>42217</v>
      </c>
      <c r="H9">
        <f t="shared" si="0"/>
        <v>89.9009530712284</v>
      </c>
      <c r="I9">
        <f t="shared" si="0"/>
        <v>89.904364230615514</v>
      </c>
    </row>
    <row r="10" spans="1:9" x14ac:dyDescent="0.45">
      <c r="A10">
        <v>9</v>
      </c>
      <c r="B10">
        <v>0.90768150982705786</v>
      </c>
      <c r="C10">
        <v>0.90759520001681171</v>
      </c>
      <c r="D10">
        <v>8.6309810246154584E-5</v>
      </c>
      <c r="E10">
        <v>9</v>
      </c>
      <c r="F10" t="s">
        <v>6</v>
      </c>
      <c r="G10" s="2">
        <v>42248</v>
      </c>
      <c r="H10">
        <f t="shared" si="0"/>
        <v>90.768150982705791</v>
      </c>
      <c r="I10">
        <f t="shared" si="0"/>
        <v>90.759520001681167</v>
      </c>
    </row>
    <row r="11" spans="1:9" x14ac:dyDescent="0.45">
      <c r="A11">
        <v>10</v>
      </c>
      <c r="B11">
        <v>0.91637085487744174</v>
      </c>
      <c r="C11">
        <v>0.9164605160603041</v>
      </c>
      <c r="D11">
        <v>-8.9661182862355027E-5</v>
      </c>
      <c r="E11">
        <v>10</v>
      </c>
      <c r="F11" t="s">
        <v>6</v>
      </c>
      <c r="G11" s="2">
        <v>42278</v>
      </c>
      <c r="H11">
        <f t="shared" si="0"/>
        <v>91.637085487744173</v>
      </c>
      <c r="I11">
        <f t="shared" si="0"/>
        <v>91.646051606030412</v>
      </c>
    </row>
    <row r="12" spans="1:9" x14ac:dyDescent="0.45">
      <c r="A12">
        <v>11</v>
      </c>
      <c r="B12">
        <v>0.92341155197207925</v>
      </c>
      <c r="C12">
        <v>0.92338405317252348</v>
      </c>
      <c r="D12">
        <v>2.7498799555769619E-5</v>
      </c>
      <c r="E12">
        <v>11</v>
      </c>
      <c r="F12" t="s">
        <v>6</v>
      </c>
      <c r="G12" s="2">
        <v>42309</v>
      </c>
      <c r="H12">
        <f t="shared" si="0"/>
        <v>92.341155197207925</v>
      </c>
      <c r="I12">
        <f t="shared" si="0"/>
        <v>92.338405317252352</v>
      </c>
    </row>
    <row r="13" spans="1:9" x14ac:dyDescent="0.45">
      <c r="A13">
        <v>12</v>
      </c>
      <c r="B13">
        <v>0.9285282268984586</v>
      </c>
      <c r="C13">
        <v>0.92843427336765239</v>
      </c>
      <c r="D13">
        <v>9.3953530806212271E-5</v>
      </c>
      <c r="E13">
        <v>12</v>
      </c>
      <c r="F13" t="s">
        <v>6</v>
      </c>
      <c r="G13" s="2">
        <v>42339</v>
      </c>
      <c r="H13">
        <f t="shared" si="0"/>
        <v>92.852822689845866</v>
      </c>
      <c r="I13">
        <f t="shared" si="0"/>
        <v>92.843427336765245</v>
      </c>
    </row>
    <row r="14" spans="1:9" x14ac:dyDescent="0.45">
      <c r="A14">
        <v>13</v>
      </c>
      <c r="B14">
        <v>0.93508184413649698</v>
      </c>
      <c r="C14">
        <v>0.93519257060606753</v>
      </c>
      <c r="D14">
        <v>-1.107264695705545E-4</v>
      </c>
      <c r="E14">
        <v>13</v>
      </c>
      <c r="F14" t="s">
        <v>6</v>
      </c>
      <c r="G14" s="2">
        <v>42370</v>
      </c>
      <c r="H14">
        <f t="shared" si="0"/>
        <v>93.508184413649701</v>
      </c>
      <c r="I14">
        <f t="shared" si="0"/>
        <v>93.519257060606748</v>
      </c>
    </row>
    <row r="15" spans="1:9" x14ac:dyDescent="0.45">
      <c r="A15">
        <v>14</v>
      </c>
      <c r="B15">
        <v>0.94234533389670994</v>
      </c>
      <c r="C15">
        <v>0.94244124800798101</v>
      </c>
      <c r="D15">
        <v>-9.5914111271078184E-5</v>
      </c>
      <c r="E15">
        <v>14</v>
      </c>
      <c r="F15" t="s">
        <v>6</v>
      </c>
      <c r="G15" s="2">
        <v>42401</v>
      </c>
      <c r="H15">
        <f t="shared" si="0"/>
        <v>94.234533389671</v>
      </c>
      <c r="I15">
        <f t="shared" si="0"/>
        <v>94.244124800798105</v>
      </c>
    </row>
    <row r="16" spans="1:9" x14ac:dyDescent="0.45">
      <c r="A16">
        <v>15</v>
      </c>
      <c r="B16">
        <v>0.95074605602165707</v>
      </c>
      <c r="C16">
        <v>0.95049341153872524</v>
      </c>
      <c r="D16">
        <v>2.5264448293182967E-4</v>
      </c>
      <c r="E16">
        <v>15</v>
      </c>
      <c r="F16" t="s">
        <v>6</v>
      </c>
      <c r="G16" s="2">
        <v>42430</v>
      </c>
      <c r="H16">
        <f t="shared" si="0"/>
        <v>95.074605602165704</v>
      </c>
      <c r="I16">
        <f t="shared" si="0"/>
        <v>95.049341153872518</v>
      </c>
    </row>
    <row r="17" spans="1:9" x14ac:dyDescent="0.45">
      <c r="A17">
        <v>16</v>
      </c>
      <c r="B17">
        <v>0.95681399582141424</v>
      </c>
      <c r="C17">
        <v>0.95691254301167672</v>
      </c>
      <c r="D17">
        <v>-9.8547190262476825E-5</v>
      </c>
      <c r="E17">
        <v>16</v>
      </c>
      <c r="F17" t="s">
        <v>6</v>
      </c>
      <c r="G17" s="2">
        <v>42461</v>
      </c>
      <c r="H17">
        <f t="shared" si="0"/>
        <v>95.681399582141424</v>
      </c>
      <c r="I17">
        <f t="shared" si="0"/>
        <v>95.691254301167675</v>
      </c>
    </row>
    <row r="18" spans="1:9" x14ac:dyDescent="0.45">
      <c r="A18">
        <v>17</v>
      </c>
      <c r="B18">
        <v>0.96193479473845478</v>
      </c>
      <c r="C18">
        <v>0.96198143772265698</v>
      </c>
      <c r="D18">
        <v>-4.6642984202205362E-5</v>
      </c>
      <c r="E18">
        <v>17</v>
      </c>
      <c r="F18" t="s">
        <v>6</v>
      </c>
      <c r="G18" s="2">
        <v>42491</v>
      </c>
      <c r="H18">
        <f t="shared" si="0"/>
        <v>96.193479473845471</v>
      </c>
      <c r="I18">
        <f t="shared" si="0"/>
        <v>96.198143772265695</v>
      </c>
    </row>
    <row r="19" spans="1:9" x14ac:dyDescent="0.45">
      <c r="A19">
        <v>18</v>
      </c>
      <c r="B19">
        <v>0.96548269315289981</v>
      </c>
      <c r="C19">
        <v>0.96531954546219112</v>
      </c>
      <c r="D19">
        <v>1.6314769070868709E-4</v>
      </c>
      <c r="E19">
        <v>18</v>
      </c>
      <c r="F19" t="s">
        <v>6</v>
      </c>
      <c r="G19" s="2">
        <v>42522</v>
      </c>
      <c r="H19">
        <f t="shared" si="0"/>
        <v>96.548269315289986</v>
      </c>
      <c r="I19">
        <f t="shared" si="0"/>
        <v>96.531954546219112</v>
      </c>
    </row>
    <row r="20" spans="1:9" x14ac:dyDescent="0.45">
      <c r="A20">
        <v>19</v>
      </c>
      <c r="B20">
        <v>0.96807047256654399</v>
      </c>
      <c r="C20">
        <v>0.96807438472251517</v>
      </c>
      <c r="D20">
        <v>-3.9121559711752241E-6</v>
      </c>
      <c r="E20">
        <v>19</v>
      </c>
      <c r="F20" t="s">
        <v>6</v>
      </c>
      <c r="G20" s="2">
        <v>42552</v>
      </c>
      <c r="H20">
        <f t="shared" si="0"/>
        <v>96.8070472566544</v>
      </c>
      <c r="I20">
        <f t="shared" si="0"/>
        <v>96.807438472251519</v>
      </c>
    </row>
    <row r="21" spans="1:9" x14ac:dyDescent="0.45">
      <c r="A21">
        <v>20</v>
      </c>
      <c r="B21">
        <v>0.97106290001690398</v>
      </c>
      <c r="C21">
        <v>0.97112283038332603</v>
      </c>
      <c r="D21">
        <v>-5.9930366422045189E-5</v>
      </c>
      <c r="E21">
        <v>20</v>
      </c>
      <c r="F21" t="s">
        <v>6</v>
      </c>
      <c r="G21" s="2">
        <v>42583</v>
      </c>
      <c r="H21">
        <f t="shared" si="0"/>
        <v>97.106290001690397</v>
      </c>
      <c r="I21">
        <f t="shared" si="0"/>
        <v>97.112283038332606</v>
      </c>
    </row>
    <row r="22" spans="1:9" x14ac:dyDescent="0.45">
      <c r="A22">
        <v>21</v>
      </c>
      <c r="B22">
        <v>0.9753248141948363</v>
      </c>
      <c r="C22">
        <v>0.97542768428632343</v>
      </c>
      <c r="D22">
        <v>-1.0287009148712829E-4</v>
      </c>
      <c r="E22">
        <v>21</v>
      </c>
      <c r="F22" t="s">
        <v>6</v>
      </c>
      <c r="G22" s="2">
        <v>42614</v>
      </c>
      <c r="H22">
        <f t="shared" si="0"/>
        <v>97.532481419483631</v>
      </c>
      <c r="I22">
        <f t="shared" si="0"/>
        <v>97.542768428632343</v>
      </c>
    </row>
    <row r="23" spans="1:9" x14ac:dyDescent="0.45">
      <c r="A23">
        <v>22</v>
      </c>
      <c r="B23">
        <v>0.97918128656958081</v>
      </c>
      <c r="C23">
        <v>0.97915869119554633</v>
      </c>
      <c r="D23">
        <v>2.2595374034484191E-5</v>
      </c>
      <c r="E23">
        <v>22</v>
      </c>
      <c r="F23" t="s">
        <v>6</v>
      </c>
      <c r="G23" s="2">
        <v>42644</v>
      </c>
      <c r="H23">
        <f t="shared" si="0"/>
        <v>97.918128656958075</v>
      </c>
      <c r="I23">
        <f t="shared" si="0"/>
        <v>97.915869119554628</v>
      </c>
    </row>
    <row r="24" spans="1:9" x14ac:dyDescent="0.45">
      <c r="A24">
        <v>23</v>
      </c>
      <c r="B24">
        <v>0.98268732586489693</v>
      </c>
      <c r="C24">
        <v>0.98262147102160258</v>
      </c>
      <c r="D24">
        <v>6.5854843294355092E-5</v>
      </c>
      <c r="E24">
        <v>23</v>
      </c>
      <c r="F24" t="s">
        <v>6</v>
      </c>
      <c r="G24" s="2">
        <v>42675</v>
      </c>
      <c r="H24">
        <f t="shared" si="0"/>
        <v>98.268732586489691</v>
      </c>
      <c r="I24">
        <f t="shared" si="0"/>
        <v>98.262147102160256</v>
      </c>
    </row>
    <row r="25" spans="1:9" x14ac:dyDescent="0.45">
      <c r="A25">
        <v>24</v>
      </c>
      <c r="B25">
        <v>0.9853414951557441</v>
      </c>
      <c r="C25">
        <v>0.98535367600887447</v>
      </c>
      <c r="D25">
        <v>-1.218085313037243E-5</v>
      </c>
      <c r="E25">
        <v>24</v>
      </c>
      <c r="F25" t="s">
        <v>6</v>
      </c>
      <c r="G25" s="2">
        <v>42705</v>
      </c>
      <c r="H25">
        <f t="shared" si="0"/>
        <v>98.534149515574413</v>
      </c>
      <c r="I25">
        <f t="shared" si="0"/>
        <v>98.53536760088744</v>
      </c>
    </row>
    <row r="26" spans="1:9" x14ac:dyDescent="0.45">
      <c r="A26">
        <v>25</v>
      </c>
      <c r="B26">
        <v>0.98773559663068733</v>
      </c>
      <c r="C26">
        <v>0.98775333621141992</v>
      </c>
      <c r="D26">
        <v>-1.773958073258974E-5</v>
      </c>
      <c r="E26">
        <v>25</v>
      </c>
      <c r="F26" t="s">
        <v>6</v>
      </c>
      <c r="G26" s="2">
        <v>42736</v>
      </c>
      <c r="H26">
        <f t="shared" si="0"/>
        <v>98.773559663068738</v>
      </c>
      <c r="I26">
        <f t="shared" si="0"/>
        <v>98.775333621141996</v>
      </c>
    </row>
    <row r="27" spans="1:9" x14ac:dyDescent="0.45">
      <c r="A27">
        <v>26</v>
      </c>
      <c r="B27">
        <v>0.98934925805495233</v>
      </c>
      <c r="C27">
        <v>0.98948486820307191</v>
      </c>
      <c r="D27">
        <v>-1.3561014811958039E-4</v>
      </c>
      <c r="E27">
        <v>26</v>
      </c>
      <c r="F27" t="s">
        <v>6</v>
      </c>
      <c r="G27" s="2">
        <v>42767</v>
      </c>
      <c r="H27">
        <f t="shared" si="0"/>
        <v>98.934925805495226</v>
      </c>
      <c r="I27">
        <f t="shared" si="0"/>
        <v>98.948486820307195</v>
      </c>
    </row>
    <row r="28" spans="1:9" x14ac:dyDescent="0.45">
      <c r="A28">
        <v>27</v>
      </c>
      <c r="B28">
        <v>0.99187181313759742</v>
      </c>
      <c r="C28">
        <v>0.99160874504441732</v>
      </c>
      <c r="D28">
        <v>2.6306809318010771E-4</v>
      </c>
      <c r="E28">
        <v>27</v>
      </c>
      <c r="F28" t="s">
        <v>6</v>
      </c>
      <c r="G28" s="2">
        <v>42795</v>
      </c>
      <c r="H28">
        <f t="shared" si="0"/>
        <v>99.187181313759737</v>
      </c>
      <c r="I28">
        <f t="shared" si="0"/>
        <v>99.160874504441736</v>
      </c>
    </row>
    <row r="29" spans="1:9" x14ac:dyDescent="0.45">
      <c r="A29">
        <v>28</v>
      </c>
      <c r="B29">
        <v>0.99329025970893203</v>
      </c>
      <c r="C29">
        <v>0.99334070193392698</v>
      </c>
      <c r="D29">
        <v>-5.044222499495099E-5</v>
      </c>
      <c r="E29">
        <v>28</v>
      </c>
      <c r="F29" t="s">
        <v>6</v>
      </c>
      <c r="G29" s="2">
        <v>42826</v>
      </c>
      <c r="H29">
        <f t="shared" si="0"/>
        <v>99.329025970893198</v>
      </c>
      <c r="I29">
        <f t="shared" si="0"/>
        <v>99.334070193392705</v>
      </c>
    </row>
    <row r="30" spans="1:9" x14ac:dyDescent="0.45">
      <c r="A30">
        <v>29</v>
      </c>
      <c r="B30">
        <v>0.994361476220884</v>
      </c>
      <c r="C30">
        <v>0.9946135226411007</v>
      </c>
      <c r="D30">
        <v>-2.5204642021670049E-4</v>
      </c>
      <c r="E30">
        <v>29</v>
      </c>
      <c r="F30" t="s">
        <v>6</v>
      </c>
      <c r="G30" s="2">
        <v>42856</v>
      </c>
      <c r="H30">
        <f t="shared" si="0"/>
        <v>99.436147622088399</v>
      </c>
      <c r="I30">
        <f t="shared" si="0"/>
        <v>99.461352264110076</v>
      </c>
    </row>
    <row r="31" spans="1:9" x14ac:dyDescent="0.45">
      <c r="A31">
        <v>30</v>
      </c>
      <c r="B31">
        <v>0.99617530791386022</v>
      </c>
      <c r="C31">
        <v>0.99589388783343069</v>
      </c>
      <c r="D31">
        <v>2.814200804295286E-4</v>
      </c>
      <c r="E31">
        <v>30</v>
      </c>
      <c r="F31" t="s">
        <v>6</v>
      </c>
      <c r="G31" s="2">
        <v>42887</v>
      </c>
      <c r="H31">
        <f t="shared" si="0"/>
        <v>99.617530791386017</v>
      </c>
      <c r="I31">
        <f t="shared" si="0"/>
        <v>99.589388783343068</v>
      </c>
    </row>
    <row r="32" spans="1:9" x14ac:dyDescent="0.45">
      <c r="A32">
        <v>31</v>
      </c>
      <c r="B32">
        <v>0.99684133060097957</v>
      </c>
      <c r="C32">
        <v>0.99683387245954591</v>
      </c>
      <c r="D32">
        <v>7.4581414336583052E-6</v>
      </c>
      <c r="E32">
        <v>31</v>
      </c>
      <c r="F32" t="s">
        <v>6</v>
      </c>
      <c r="G32" s="2">
        <v>42917</v>
      </c>
      <c r="H32">
        <f t="shared" si="0"/>
        <v>99.684133060097963</v>
      </c>
      <c r="I32">
        <f t="shared" si="0"/>
        <v>99.683387245954592</v>
      </c>
    </row>
    <row r="33" spans="1:15" x14ac:dyDescent="0.45">
      <c r="A33">
        <v>32</v>
      </c>
      <c r="B33">
        <v>0.99822543290206123</v>
      </c>
      <c r="C33">
        <v>0.99816376502122606</v>
      </c>
      <c r="D33">
        <v>6.1667880835170052E-5</v>
      </c>
      <c r="E33">
        <v>32</v>
      </c>
      <c r="F33" t="s">
        <v>6</v>
      </c>
      <c r="G33" s="2">
        <v>42948</v>
      </c>
      <c r="H33">
        <f t="shared" si="0"/>
        <v>99.822543290206127</v>
      </c>
      <c r="I33">
        <f t="shared" si="0"/>
        <v>99.816376502122608</v>
      </c>
    </row>
    <row r="34" spans="1:15" x14ac:dyDescent="0.45">
      <c r="A34">
        <v>33</v>
      </c>
      <c r="B34">
        <v>1</v>
      </c>
      <c r="C34">
        <v>0.99999999997260758</v>
      </c>
      <c r="D34">
        <v>2.7392421664274022E-11</v>
      </c>
      <c r="E34">
        <v>33</v>
      </c>
      <c r="F34" t="s">
        <v>6</v>
      </c>
      <c r="G34" s="2">
        <v>42979</v>
      </c>
      <c r="H34">
        <f t="shared" si="0"/>
        <v>100</v>
      </c>
      <c r="I34">
        <f t="shared" si="0"/>
        <v>99.999999997260758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t="s">
        <v>13</v>
      </c>
    </row>
    <row r="35" spans="1:15" x14ac:dyDescent="0.45">
      <c r="A35">
        <v>34</v>
      </c>
      <c r="B35">
        <v>1.002753677592032</v>
      </c>
      <c r="C35">
        <v>1.0020659685522011</v>
      </c>
      <c r="D35">
        <v>6.8770903983050857E-4</v>
      </c>
      <c r="E35">
        <v>34</v>
      </c>
      <c r="F35" t="s">
        <v>7</v>
      </c>
      <c r="G35" s="2">
        <v>43009</v>
      </c>
      <c r="H35">
        <f t="shared" si="0"/>
        <v>100.27536775920321</v>
      </c>
      <c r="I35">
        <f>C35*100</f>
        <v>100.20659685522011</v>
      </c>
      <c r="J35">
        <f>H35/H34*100</f>
        <v>100.27536775920321</v>
      </c>
      <c r="K35">
        <f>I35/I34*100</f>
        <v>100.20659685796502</v>
      </c>
      <c r="L35" s="3">
        <f>J35-K35</f>
        <v>6.8770901238181636E-2</v>
      </c>
      <c r="M35">
        <f>L35</f>
        <v>6.8770901238181636E-2</v>
      </c>
      <c r="N35">
        <f>(B35-C35)/C35*100</f>
        <v>6.8629118382751209E-2</v>
      </c>
      <c r="O35">
        <f>N35</f>
        <v>6.8629118382751209E-2</v>
      </c>
    </row>
    <row r="36" spans="1:15" x14ac:dyDescent="0.45">
      <c r="A36">
        <v>35</v>
      </c>
      <c r="B36">
        <v>1.004632828403784</v>
      </c>
      <c r="C36">
        <v>1.0045105852987151</v>
      </c>
      <c r="D36">
        <v>1.2224310506825381E-4</v>
      </c>
      <c r="E36">
        <v>35</v>
      </c>
      <c r="F36" t="s">
        <v>7</v>
      </c>
      <c r="G36" s="2">
        <v>43040</v>
      </c>
      <c r="H36">
        <f t="shared" ref="H36:I41" si="1">B36*100</f>
        <v>100.4632828403784</v>
      </c>
      <c r="I36">
        <f t="shared" si="1"/>
        <v>100.4510585298715</v>
      </c>
      <c r="J36">
        <f t="shared" ref="J36:K41" si="2">H36/H35*100</f>
        <v>100.18739904462524</v>
      </c>
      <c r="K36">
        <f t="shared" si="2"/>
        <v>100.2439576657858</v>
      </c>
      <c r="L36" s="3">
        <f t="shared" ref="L36:L41" si="3">J36-K36</f>
        <v>-5.6558621160561984E-2</v>
      </c>
      <c r="M36">
        <f>M35+L36</f>
        <v>1.2212280077619653E-2</v>
      </c>
      <c r="N36">
        <f t="shared" ref="N36:N40" si="4">(B36-C36)/C36*100</f>
        <v>1.2169419303089575E-2</v>
      </c>
      <c r="O36">
        <f t="shared" ref="O36:O40" si="5">N36-N35</f>
        <v>-5.6459699079661634E-2</v>
      </c>
    </row>
    <row r="37" spans="1:15" x14ac:dyDescent="0.45">
      <c r="A37">
        <v>36</v>
      </c>
      <c r="B37">
        <v>1.005972409525105</v>
      </c>
      <c r="C37">
        <v>1.0060021542256961</v>
      </c>
      <c r="D37">
        <v>-2.974470059036172E-5</v>
      </c>
      <c r="E37">
        <v>36</v>
      </c>
      <c r="F37" t="s">
        <v>7</v>
      </c>
      <c r="G37" s="2">
        <v>43070</v>
      </c>
      <c r="H37">
        <f t="shared" si="1"/>
        <v>100.5972409525105</v>
      </c>
      <c r="I37">
        <f t="shared" si="1"/>
        <v>100.6002154225696</v>
      </c>
      <c r="J37">
        <f t="shared" si="2"/>
        <v>100.13334036908286</v>
      </c>
      <c r="K37">
        <f t="shared" si="2"/>
        <v>100.14848712883773</v>
      </c>
      <c r="L37" s="3">
        <f t="shared" si="3"/>
        <v>-1.5146759754870232E-2</v>
      </c>
      <c r="M37">
        <f t="shared" ref="M37:M41" si="6">M36+L37</f>
        <v>-2.9344796772505788E-3</v>
      </c>
      <c r="N37">
        <f t="shared" si="4"/>
        <v>-2.9567233495560331E-3</v>
      </c>
      <c r="O37">
        <f t="shared" si="5"/>
        <v>-1.5126142652645608E-2</v>
      </c>
    </row>
    <row r="38" spans="1:15" x14ac:dyDescent="0.45">
      <c r="A38">
        <v>37</v>
      </c>
      <c r="B38">
        <v>1.0080865154803169</v>
      </c>
      <c r="C38">
        <v>1.007827202542585</v>
      </c>
      <c r="D38">
        <v>2.5931293773218123E-4</v>
      </c>
      <c r="E38">
        <v>37</v>
      </c>
      <c r="F38" t="s">
        <v>7</v>
      </c>
      <c r="G38" s="2">
        <v>43101</v>
      </c>
      <c r="H38">
        <f t="shared" si="1"/>
        <v>100.80865154803169</v>
      </c>
      <c r="I38">
        <f t="shared" si="1"/>
        <v>100.78272025425849</v>
      </c>
      <c r="J38">
        <f t="shared" si="2"/>
        <v>100.21015546104391</v>
      </c>
      <c r="K38">
        <f t="shared" si="2"/>
        <v>100.18141594520675</v>
      </c>
      <c r="L38" s="3">
        <f t="shared" si="3"/>
        <v>2.8739515837159502E-2</v>
      </c>
      <c r="M38">
        <f t="shared" si="6"/>
        <v>2.5805036159908923E-2</v>
      </c>
      <c r="N38">
        <f t="shared" si="4"/>
        <v>2.572990062956771E-2</v>
      </c>
      <c r="O38">
        <f t="shared" si="5"/>
        <v>2.8686623979123742E-2</v>
      </c>
    </row>
    <row r="39" spans="1:15" x14ac:dyDescent="0.45">
      <c r="A39">
        <v>38</v>
      </c>
      <c r="B39">
        <v>1.009559340180296</v>
      </c>
      <c r="C39">
        <v>1.008766676877052</v>
      </c>
      <c r="D39">
        <v>7.9266330324467837E-4</v>
      </c>
      <c r="E39">
        <v>38</v>
      </c>
      <c r="F39" t="s">
        <v>7</v>
      </c>
      <c r="G39" s="2">
        <v>43132</v>
      </c>
      <c r="H39">
        <f t="shared" si="1"/>
        <v>100.95593401802961</v>
      </c>
      <c r="I39">
        <f t="shared" si="1"/>
        <v>100.87666768770521</v>
      </c>
      <c r="J39">
        <f t="shared" si="2"/>
        <v>100.14610102182327</v>
      </c>
      <c r="K39">
        <f t="shared" si="2"/>
        <v>100.09321779885451</v>
      </c>
      <c r="L39" s="3">
        <f t="shared" si="3"/>
        <v>5.2883222968759469E-2</v>
      </c>
      <c r="M39">
        <f t="shared" si="6"/>
        <v>7.8688259128668392E-2</v>
      </c>
      <c r="N39">
        <f t="shared" si="4"/>
        <v>7.8577467060861453E-2</v>
      </c>
      <c r="O39">
        <f t="shared" si="5"/>
        <v>5.2847566431293742E-2</v>
      </c>
    </row>
    <row r="40" spans="1:15" x14ac:dyDescent="0.45">
      <c r="A40">
        <v>39</v>
      </c>
      <c r="B40">
        <v>1.01102994811897</v>
      </c>
      <c r="C40">
        <v>1.008937431971239</v>
      </c>
      <c r="D40">
        <v>2.0925161477312049E-3</v>
      </c>
      <c r="E40">
        <v>39</v>
      </c>
      <c r="F40" t="s">
        <v>7</v>
      </c>
      <c r="G40" s="2">
        <v>43160</v>
      </c>
      <c r="H40">
        <f t="shared" si="1"/>
        <v>101.10299481189699</v>
      </c>
      <c r="I40">
        <f t="shared" si="1"/>
        <v>100.8937431971239</v>
      </c>
      <c r="J40">
        <f t="shared" si="2"/>
        <v>100.1456683010244</v>
      </c>
      <c r="K40">
        <f t="shared" si="2"/>
        <v>100.01692711487213</v>
      </c>
      <c r="L40" s="3">
        <f t="shared" si="3"/>
        <v>0.12874118615226848</v>
      </c>
      <c r="M40">
        <f t="shared" si="6"/>
        <v>0.20742944528093687</v>
      </c>
      <c r="N40">
        <f t="shared" si="4"/>
        <v>0.20739800917512519</v>
      </c>
      <c r="O40">
        <f t="shared" si="5"/>
        <v>0.12882054211426375</v>
      </c>
    </row>
    <row r="41" spans="1:15" x14ac:dyDescent="0.45">
      <c r="A41">
        <v>40</v>
      </c>
      <c r="B41">
        <v>1.013094056413389</v>
      </c>
      <c r="C41">
        <v>1.010632745094854</v>
      </c>
      <c r="D41">
        <v>2.4613113185347761E-3</v>
      </c>
      <c r="E41">
        <v>40</v>
      </c>
      <c r="F41" t="s">
        <v>7</v>
      </c>
      <c r="G41" s="2">
        <v>43191</v>
      </c>
      <c r="H41">
        <f t="shared" si="1"/>
        <v>101.3094056413389</v>
      </c>
      <c r="I41">
        <f t="shared" si="1"/>
        <v>101.0632745094854</v>
      </c>
      <c r="J41">
        <f t="shared" si="2"/>
        <v>100.20415896663192</v>
      </c>
      <c r="K41">
        <f t="shared" si="2"/>
        <v>100.16802955960338</v>
      </c>
      <c r="L41" s="3">
        <f t="shared" si="3"/>
        <v>3.6129407028539617E-2</v>
      </c>
      <c r="M41">
        <f t="shared" si="6"/>
        <v>0.24355885230947649</v>
      </c>
      <c r="N41">
        <f>(B41-C41)/C41*100</f>
        <v>0.24354161593131327</v>
      </c>
      <c r="O41">
        <f>N41-N40</f>
        <v>3.6143606756188079E-2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2026-05-29T08:01:10Z</dcterms:created>
  <dcterms:modified xsi:type="dcterms:W3CDTF">2026-05-29T08:33:36Z</dcterms:modified>
</cp:coreProperties>
</file>