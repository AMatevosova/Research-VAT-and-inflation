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татья Вопросы экономики\Данные исследование НДС\Placebo test in-time\Treatment окт18\"/>
    </mc:Choice>
  </mc:AlternateContent>
  <xr:revisionPtr revIDLastSave="0" documentId="13_ncr:1_{7E679F7F-ED8C-4259-A534-79EEFDEAFBE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1" l="1"/>
  <c r="O40" i="1" s="1"/>
  <c r="I40" i="1"/>
  <c r="H40" i="1"/>
  <c r="J40" i="1" s="1"/>
  <c r="N39" i="1"/>
  <c r="I39" i="1"/>
  <c r="K39" i="1" s="1"/>
  <c r="H39" i="1"/>
  <c r="J39" i="1" s="1"/>
  <c r="L39" i="1" s="1"/>
  <c r="N38" i="1"/>
  <c r="I38" i="1"/>
  <c r="K38" i="1" s="1"/>
  <c r="H38" i="1"/>
  <c r="N37" i="1"/>
  <c r="I37" i="1"/>
  <c r="K37" i="1" s="1"/>
  <c r="H37" i="1"/>
  <c r="N36" i="1"/>
  <c r="O36" i="1" s="1"/>
  <c r="I36" i="1"/>
  <c r="H36" i="1"/>
  <c r="N35" i="1"/>
  <c r="O35" i="1" s="1"/>
  <c r="I35" i="1"/>
  <c r="K35" i="1" s="1"/>
  <c r="H35" i="1"/>
  <c r="J35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O37" i="1" l="1"/>
  <c r="L35" i="1"/>
  <c r="M35" i="1" s="1"/>
  <c r="J37" i="1"/>
  <c r="L37" i="1" s="1"/>
  <c r="J38" i="1"/>
  <c r="L38" i="1" s="1"/>
  <c r="J36" i="1"/>
  <c r="K36" i="1"/>
  <c r="O38" i="1"/>
  <c r="O39" i="1"/>
  <c r="K40" i="1"/>
  <c r="L40" i="1" s="1"/>
  <c r="L36" i="1" l="1"/>
  <c r="M36" i="1" s="1"/>
  <c r="M37" i="1" s="1"/>
  <c r="M38" i="1" s="1"/>
  <c r="M39" i="1" s="1"/>
  <c r="M40" i="1" s="1"/>
</calcChain>
</file>

<file path=xl/sharedStrings.xml><?xml version="1.0" encoding="utf-8"?>
<sst xmlns="http://schemas.openxmlformats.org/spreadsheetml/2006/main" count="53" uniqueCount="14">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</sst>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30" workbookViewId="0">
      <selection activeCell="E48" sqref="E48"/>
    </sheetView>
  </sheetViews>
  <sheetFormatPr defaultRowHeight="14.25" x14ac:dyDescent="0.45"/>
  <cols>
    <col min="7" max="7" width="9.6640625" bestFit="1" customWidth="1"/>
    <col min="8" max="8" width="13.06640625" bestFit="1" customWidth="1"/>
    <col min="9" max="9" width="15" bestFit="1" customWidth="1"/>
    <col min="14" max="14" width="28.53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0.91597886657082939</v>
      </c>
      <c r="C2">
        <v>0.91599435841899313</v>
      </c>
      <c r="D2">
        <v>-1.5491848163740048E-5</v>
      </c>
      <c r="E2">
        <v>1</v>
      </c>
      <c r="F2" t="s">
        <v>6</v>
      </c>
      <c r="G2" s="2">
        <v>42370</v>
      </c>
      <c r="H2">
        <f>B2*100</f>
        <v>91.597886657082938</v>
      </c>
      <c r="I2">
        <f>C2*100</f>
        <v>91.599435841899307</v>
      </c>
    </row>
    <row r="3" spans="1:9" x14ac:dyDescent="0.45">
      <c r="A3">
        <v>2</v>
      </c>
      <c r="B3">
        <v>0.92310141834016268</v>
      </c>
      <c r="C3">
        <v>0.92315352612252599</v>
      </c>
      <c r="D3">
        <v>-5.2107782363308708E-5</v>
      </c>
      <c r="E3">
        <v>2</v>
      </c>
      <c r="F3" t="s">
        <v>6</v>
      </c>
      <c r="G3" s="2">
        <v>42401</v>
      </c>
      <c r="H3">
        <f t="shared" ref="H3:I35" si="0">B3*100</f>
        <v>92.310141834016264</v>
      </c>
      <c r="I3">
        <f t="shared" si="0"/>
        <v>92.315352612252596</v>
      </c>
    </row>
    <row r="4" spans="1:9" x14ac:dyDescent="0.45">
      <c r="A4">
        <v>3</v>
      </c>
      <c r="B4">
        <v>0.93134341710001611</v>
      </c>
      <c r="C4">
        <v>0.93118878883848311</v>
      </c>
      <c r="D4">
        <v>1.5462826153300749E-4</v>
      </c>
      <c r="E4">
        <v>3</v>
      </c>
      <c r="F4" t="s">
        <v>6</v>
      </c>
      <c r="G4" s="2">
        <v>42430</v>
      </c>
      <c r="H4">
        <f t="shared" si="0"/>
        <v>93.134341710001607</v>
      </c>
      <c r="I4">
        <f t="shared" si="0"/>
        <v>93.118878883848311</v>
      </c>
    </row>
    <row r="5" spans="1:9" x14ac:dyDescent="0.45">
      <c r="A5">
        <v>4</v>
      </c>
      <c r="B5">
        <v>0.93727467586017954</v>
      </c>
      <c r="C5">
        <v>0.93735712717442043</v>
      </c>
      <c r="D5">
        <v>-8.2451314240894469E-5</v>
      </c>
      <c r="E5">
        <v>4</v>
      </c>
      <c r="F5" t="s">
        <v>6</v>
      </c>
      <c r="G5" s="2">
        <v>42461</v>
      </c>
      <c r="H5">
        <f t="shared" si="0"/>
        <v>93.727467586017951</v>
      </c>
      <c r="I5">
        <f t="shared" si="0"/>
        <v>93.735712717442041</v>
      </c>
    </row>
    <row r="6" spans="1:9" x14ac:dyDescent="0.45">
      <c r="A6">
        <v>5</v>
      </c>
      <c r="B6">
        <v>0.94226572759795491</v>
      </c>
      <c r="C6">
        <v>0.94231816811057556</v>
      </c>
      <c r="D6">
        <v>-5.2440512620655078E-5</v>
      </c>
      <c r="E6">
        <v>5</v>
      </c>
      <c r="F6" t="s">
        <v>6</v>
      </c>
      <c r="G6" s="2">
        <v>42491</v>
      </c>
      <c r="H6">
        <f t="shared" si="0"/>
        <v>94.226572759795488</v>
      </c>
      <c r="I6">
        <f t="shared" si="0"/>
        <v>94.231816811057556</v>
      </c>
    </row>
    <row r="7" spans="1:9" x14ac:dyDescent="0.45">
      <c r="A7">
        <v>6</v>
      </c>
      <c r="B7">
        <v>0.94571583964666373</v>
      </c>
      <c r="C7">
        <v>0.94562098843385078</v>
      </c>
      <c r="D7">
        <v>9.4851212812940844E-5</v>
      </c>
      <c r="E7">
        <v>6</v>
      </c>
      <c r="F7" t="s">
        <v>6</v>
      </c>
      <c r="G7" s="2">
        <v>42522</v>
      </c>
      <c r="H7">
        <f t="shared" si="0"/>
        <v>94.571583964666374</v>
      </c>
      <c r="I7">
        <f t="shared" si="0"/>
        <v>94.562098843385073</v>
      </c>
    </row>
    <row r="8" spans="1:9" x14ac:dyDescent="0.45">
      <c r="A8">
        <v>7</v>
      </c>
      <c r="B8">
        <v>0.9482156274673138</v>
      </c>
      <c r="C8">
        <v>0.94824664468842534</v>
      </c>
      <c r="D8">
        <v>-3.1017221111540039E-5</v>
      </c>
      <c r="E8">
        <v>7</v>
      </c>
      <c r="F8" t="s">
        <v>6</v>
      </c>
      <c r="G8" s="2">
        <v>42552</v>
      </c>
      <c r="H8">
        <f t="shared" si="0"/>
        <v>94.821562746731374</v>
      </c>
      <c r="I8">
        <f t="shared" si="0"/>
        <v>94.824664468842528</v>
      </c>
    </row>
    <row r="9" spans="1:9" x14ac:dyDescent="0.45">
      <c r="A9">
        <v>8</v>
      </c>
      <c r="B9">
        <v>0.95110611098790843</v>
      </c>
      <c r="C9">
        <v>0.95112623287877951</v>
      </c>
      <c r="D9">
        <v>-2.0121890871083181E-5</v>
      </c>
      <c r="E9">
        <v>8</v>
      </c>
      <c r="F9" t="s">
        <v>6</v>
      </c>
      <c r="G9" s="2">
        <v>42583</v>
      </c>
      <c r="H9">
        <f t="shared" si="0"/>
        <v>95.110611098790841</v>
      </c>
      <c r="I9">
        <f t="shared" si="0"/>
        <v>95.112623287877952</v>
      </c>
    </row>
    <row r="10" spans="1:9" x14ac:dyDescent="0.45">
      <c r="A10">
        <v>9</v>
      </c>
      <c r="B10">
        <v>0.95524284423619521</v>
      </c>
      <c r="C10">
        <v>0.95521651671423913</v>
      </c>
      <c r="D10">
        <v>2.6327521956082119E-5</v>
      </c>
      <c r="E10">
        <v>9</v>
      </c>
      <c r="F10" t="s">
        <v>6</v>
      </c>
      <c r="G10" s="2">
        <v>42614</v>
      </c>
      <c r="H10">
        <f t="shared" si="0"/>
        <v>95.52428442361952</v>
      </c>
      <c r="I10">
        <f t="shared" si="0"/>
        <v>95.521651671423911</v>
      </c>
    </row>
    <row r="11" spans="1:9" x14ac:dyDescent="0.45">
      <c r="A11">
        <v>10</v>
      </c>
      <c r="B11">
        <v>0.95898430744466234</v>
      </c>
      <c r="C11">
        <v>0.95913352986981482</v>
      </c>
      <c r="D11">
        <v>-1.4922242515247319E-4</v>
      </c>
      <c r="E11">
        <v>10</v>
      </c>
      <c r="F11" t="s">
        <v>6</v>
      </c>
      <c r="G11" s="2">
        <v>42644</v>
      </c>
      <c r="H11">
        <f t="shared" si="0"/>
        <v>95.898430744466239</v>
      </c>
      <c r="I11">
        <f t="shared" si="0"/>
        <v>95.913352986981479</v>
      </c>
    </row>
    <row r="12" spans="1:9" x14ac:dyDescent="0.45">
      <c r="A12">
        <v>11</v>
      </c>
      <c r="B12">
        <v>0.96238609980241696</v>
      </c>
      <c r="C12">
        <v>0.96225811633736535</v>
      </c>
      <c r="D12">
        <v>1.2798346505160649E-4</v>
      </c>
      <c r="E12">
        <v>11</v>
      </c>
      <c r="F12" t="s">
        <v>6</v>
      </c>
      <c r="G12" s="2">
        <v>42675</v>
      </c>
      <c r="H12">
        <f t="shared" si="0"/>
        <v>96.238609980241691</v>
      </c>
      <c r="I12">
        <f t="shared" si="0"/>
        <v>96.225811633736541</v>
      </c>
    </row>
    <row r="13" spans="1:9" x14ac:dyDescent="0.45">
      <c r="A13">
        <v>12</v>
      </c>
      <c r="B13">
        <v>0.96495541001544682</v>
      </c>
      <c r="C13">
        <v>0.96477824092117836</v>
      </c>
      <c r="D13">
        <v>1.7716909426845889E-4</v>
      </c>
      <c r="E13">
        <v>12</v>
      </c>
      <c r="F13" t="s">
        <v>6</v>
      </c>
      <c r="G13" s="2">
        <v>42705</v>
      </c>
      <c r="H13">
        <f t="shared" si="0"/>
        <v>96.49554100154468</v>
      </c>
      <c r="I13">
        <f t="shared" si="0"/>
        <v>96.477824092117842</v>
      </c>
    </row>
    <row r="14" spans="1:9" x14ac:dyDescent="0.45">
      <c r="A14">
        <v>13</v>
      </c>
      <c r="B14">
        <v>0.96742871879939818</v>
      </c>
      <c r="C14">
        <v>0.96744330804868428</v>
      </c>
      <c r="D14">
        <v>-1.458924928610106E-5</v>
      </c>
      <c r="E14">
        <v>13</v>
      </c>
      <c r="F14" t="s">
        <v>6</v>
      </c>
      <c r="G14" s="2">
        <v>42736</v>
      </c>
      <c r="H14">
        <f t="shared" si="0"/>
        <v>96.742871879939813</v>
      </c>
      <c r="I14">
        <f t="shared" si="0"/>
        <v>96.744330804868426</v>
      </c>
    </row>
    <row r="15" spans="1:9" x14ac:dyDescent="0.45">
      <c r="A15">
        <v>14</v>
      </c>
      <c r="B15">
        <v>0.96894937932131497</v>
      </c>
      <c r="C15">
        <v>0.96923030594797999</v>
      </c>
      <c r="D15">
        <v>-2.8092662666501228E-4</v>
      </c>
      <c r="E15">
        <v>14</v>
      </c>
      <c r="F15" t="s">
        <v>6</v>
      </c>
      <c r="G15" s="2">
        <v>42767</v>
      </c>
      <c r="H15">
        <f t="shared" si="0"/>
        <v>96.894937932131498</v>
      </c>
      <c r="I15">
        <f t="shared" si="0"/>
        <v>96.923030594797993</v>
      </c>
    </row>
    <row r="16" spans="1:9" x14ac:dyDescent="0.45">
      <c r="A16">
        <v>15</v>
      </c>
      <c r="B16">
        <v>0.97135829968899379</v>
      </c>
      <c r="C16">
        <v>0.97116205367774877</v>
      </c>
      <c r="D16">
        <v>1.962460112450159E-4</v>
      </c>
      <c r="E16">
        <v>15</v>
      </c>
      <c r="F16" t="s">
        <v>6</v>
      </c>
      <c r="G16" s="2">
        <v>42795</v>
      </c>
      <c r="H16">
        <f t="shared" si="0"/>
        <v>97.135829968899372</v>
      </c>
      <c r="I16">
        <f t="shared" si="0"/>
        <v>97.116205367774882</v>
      </c>
    </row>
    <row r="17" spans="1:9" x14ac:dyDescent="0.45">
      <c r="A17">
        <v>16</v>
      </c>
      <c r="B17">
        <v>0.97268659009798586</v>
      </c>
      <c r="C17">
        <v>0.97285314378813226</v>
      </c>
      <c r="D17">
        <v>-1.665536901463982E-4</v>
      </c>
      <c r="E17">
        <v>16</v>
      </c>
      <c r="F17" t="s">
        <v>6</v>
      </c>
      <c r="G17" s="2">
        <v>42826</v>
      </c>
      <c r="H17">
        <f t="shared" si="0"/>
        <v>97.268659009798583</v>
      </c>
      <c r="I17">
        <f t="shared" si="0"/>
        <v>97.285314378813226</v>
      </c>
    </row>
    <row r="18" spans="1:9" x14ac:dyDescent="0.45">
      <c r="A18">
        <v>17</v>
      </c>
      <c r="B18">
        <v>0.97368337950002493</v>
      </c>
      <c r="C18">
        <v>0.9738225867224708</v>
      </c>
      <c r="D18">
        <v>-1.3920722244586961E-4</v>
      </c>
      <c r="E18">
        <v>17</v>
      </c>
      <c r="F18" t="s">
        <v>6</v>
      </c>
      <c r="G18" s="2">
        <v>42856</v>
      </c>
      <c r="H18">
        <f t="shared" si="0"/>
        <v>97.368337950002498</v>
      </c>
      <c r="I18">
        <f t="shared" si="0"/>
        <v>97.382258672247076</v>
      </c>
    </row>
    <row r="19" spans="1:9" x14ac:dyDescent="0.45">
      <c r="A19">
        <v>18</v>
      </c>
      <c r="B19">
        <v>0.97541899393217257</v>
      </c>
      <c r="C19">
        <v>0.97515210064869295</v>
      </c>
      <c r="D19">
        <v>2.6689328347961888E-4</v>
      </c>
      <c r="E19">
        <v>18</v>
      </c>
      <c r="F19" t="s">
        <v>6</v>
      </c>
      <c r="G19" s="2">
        <v>42887</v>
      </c>
      <c r="H19">
        <f t="shared" si="0"/>
        <v>97.541899393217264</v>
      </c>
      <c r="I19">
        <f t="shared" si="0"/>
        <v>97.515210064869294</v>
      </c>
    </row>
    <row r="20" spans="1:9" x14ac:dyDescent="0.45">
      <c r="A20">
        <v>19</v>
      </c>
      <c r="B20">
        <v>0.97602593978062968</v>
      </c>
      <c r="C20">
        <v>0.97604457064315131</v>
      </c>
      <c r="D20">
        <v>-1.8630862521629151E-5</v>
      </c>
      <c r="E20">
        <v>19</v>
      </c>
      <c r="F20" t="s">
        <v>6</v>
      </c>
      <c r="G20" s="2">
        <v>42917</v>
      </c>
      <c r="H20">
        <f t="shared" si="0"/>
        <v>97.60259397806297</v>
      </c>
      <c r="I20">
        <f t="shared" si="0"/>
        <v>97.604457064315127</v>
      </c>
    </row>
    <row r="21" spans="1:9" x14ac:dyDescent="0.45">
      <c r="A21">
        <v>20</v>
      </c>
      <c r="B21">
        <v>0.97732136075913256</v>
      </c>
      <c r="C21">
        <v>0.97728199732283383</v>
      </c>
      <c r="D21">
        <v>3.9363436298733838E-5</v>
      </c>
      <c r="E21">
        <v>20</v>
      </c>
      <c r="F21" t="s">
        <v>6</v>
      </c>
      <c r="G21" s="2">
        <v>42948</v>
      </c>
      <c r="H21">
        <f t="shared" si="0"/>
        <v>97.73213607591326</v>
      </c>
      <c r="I21">
        <f t="shared" si="0"/>
        <v>97.728199732283386</v>
      </c>
    </row>
    <row r="22" spans="1:9" x14ac:dyDescent="0.45">
      <c r="A22">
        <v>21</v>
      </c>
      <c r="B22">
        <v>0.97899851909163893</v>
      </c>
      <c r="C22">
        <v>0.97909461555899024</v>
      </c>
      <c r="D22">
        <v>-9.6096467351314274E-5</v>
      </c>
      <c r="E22">
        <v>21</v>
      </c>
      <c r="F22" t="s">
        <v>6</v>
      </c>
      <c r="G22" s="2">
        <v>42979</v>
      </c>
      <c r="H22">
        <f t="shared" si="0"/>
        <v>97.8998519091639</v>
      </c>
      <c r="I22">
        <f t="shared" si="0"/>
        <v>97.909461555899028</v>
      </c>
    </row>
    <row r="23" spans="1:9" x14ac:dyDescent="0.45">
      <c r="A23">
        <v>22</v>
      </c>
      <c r="B23">
        <v>0.98161415634310767</v>
      </c>
      <c r="C23">
        <v>0.98155342575384941</v>
      </c>
      <c r="D23">
        <v>6.0730589258262142E-5</v>
      </c>
      <c r="E23">
        <v>22</v>
      </c>
      <c r="F23" t="s">
        <v>6</v>
      </c>
      <c r="G23" s="2">
        <v>43009</v>
      </c>
      <c r="H23">
        <f t="shared" si="0"/>
        <v>98.161415634310771</v>
      </c>
      <c r="I23">
        <f t="shared" si="0"/>
        <v>98.155342575384935</v>
      </c>
    </row>
    <row r="24" spans="1:9" x14ac:dyDescent="0.45">
      <c r="A24">
        <v>23</v>
      </c>
      <c r="B24">
        <v>0.98335335720184591</v>
      </c>
      <c r="C24">
        <v>0.98337154528386783</v>
      </c>
      <c r="D24">
        <v>-1.818808202191935E-5</v>
      </c>
      <c r="E24">
        <v>23</v>
      </c>
      <c r="F24" t="s">
        <v>6</v>
      </c>
      <c r="G24" s="2">
        <v>43040</v>
      </c>
      <c r="H24">
        <f t="shared" si="0"/>
        <v>98.335335720184588</v>
      </c>
      <c r="I24">
        <f t="shared" si="0"/>
        <v>98.337154528386776</v>
      </c>
    </row>
    <row r="25" spans="1:9" x14ac:dyDescent="0.45">
      <c r="A25">
        <v>24</v>
      </c>
      <c r="B25">
        <v>0.98456633580616271</v>
      </c>
      <c r="C25">
        <v>0.98464701430689716</v>
      </c>
      <c r="D25">
        <v>-8.0678500734454595E-5</v>
      </c>
      <c r="E25">
        <v>24</v>
      </c>
      <c r="F25" t="s">
        <v>6</v>
      </c>
      <c r="G25" s="2">
        <v>43070</v>
      </c>
      <c r="H25">
        <f t="shared" si="0"/>
        <v>98.45663358061627</v>
      </c>
      <c r="I25">
        <f t="shared" si="0"/>
        <v>98.464701430689715</v>
      </c>
    </row>
    <row r="26" spans="1:9" x14ac:dyDescent="0.45">
      <c r="A26">
        <v>25</v>
      </c>
      <c r="B26">
        <v>0.98670411066681996</v>
      </c>
      <c r="C26">
        <v>0.9865736509092099</v>
      </c>
      <c r="D26">
        <v>1.3045975761005751E-4</v>
      </c>
      <c r="E26">
        <v>25</v>
      </c>
      <c r="F26" t="s">
        <v>6</v>
      </c>
      <c r="G26" s="2">
        <v>43101</v>
      </c>
      <c r="H26">
        <f t="shared" si="0"/>
        <v>98.670411066681993</v>
      </c>
      <c r="I26">
        <f t="shared" si="0"/>
        <v>98.65736509092099</v>
      </c>
    </row>
    <row r="27" spans="1:9" x14ac:dyDescent="0.45">
      <c r="A27">
        <v>26</v>
      </c>
      <c r="B27">
        <v>0.98808520185736559</v>
      </c>
      <c r="C27">
        <v>0.98826319436650034</v>
      </c>
      <c r="D27">
        <v>-1.7799250913475009E-4</v>
      </c>
      <c r="E27">
        <v>26</v>
      </c>
      <c r="F27" t="s">
        <v>6</v>
      </c>
      <c r="G27" s="2">
        <v>43132</v>
      </c>
      <c r="H27">
        <f t="shared" si="0"/>
        <v>98.808520185736555</v>
      </c>
      <c r="I27">
        <f t="shared" si="0"/>
        <v>98.826319436650039</v>
      </c>
    </row>
    <row r="28" spans="1:9" x14ac:dyDescent="0.45">
      <c r="A28">
        <v>27</v>
      </c>
      <c r="B28">
        <v>0.98945892039285355</v>
      </c>
      <c r="C28">
        <v>0.98949962875018083</v>
      </c>
      <c r="D28">
        <v>-4.0708357327279288E-5</v>
      </c>
      <c r="E28">
        <v>27</v>
      </c>
      <c r="F28" t="s">
        <v>6</v>
      </c>
      <c r="G28" s="2">
        <v>43160</v>
      </c>
      <c r="H28">
        <f t="shared" si="0"/>
        <v>98.945892039285354</v>
      </c>
      <c r="I28">
        <f t="shared" si="0"/>
        <v>98.949962875018088</v>
      </c>
    </row>
    <row r="29" spans="1:9" x14ac:dyDescent="0.45">
      <c r="A29">
        <v>28</v>
      </c>
      <c r="B29">
        <v>0.99142246427828273</v>
      </c>
      <c r="C29">
        <v>0.99121595765063097</v>
      </c>
      <c r="D29">
        <v>2.0650662765175909E-4</v>
      </c>
      <c r="E29">
        <v>28</v>
      </c>
      <c r="F29" t="s">
        <v>6</v>
      </c>
      <c r="G29" s="2">
        <v>43191</v>
      </c>
      <c r="H29">
        <f t="shared" si="0"/>
        <v>99.142246427828269</v>
      </c>
      <c r="I29">
        <f t="shared" si="0"/>
        <v>99.121595765063091</v>
      </c>
    </row>
    <row r="30" spans="1:9" x14ac:dyDescent="0.45">
      <c r="A30">
        <v>29</v>
      </c>
      <c r="B30">
        <v>0.99273323547701786</v>
      </c>
      <c r="C30">
        <v>0.99272314116008153</v>
      </c>
      <c r="D30">
        <v>1.0094316936326561E-5</v>
      </c>
      <c r="E30">
        <v>29</v>
      </c>
      <c r="F30" t="s">
        <v>6</v>
      </c>
      <c r="G30" s="2">
        <v>43221</v>
      </c>
      <c r="H30">
        <f t="shared" si="0"/>
        <v>99.273323547701793</v>
      </c>
      <c r="I30">
        <f t="shared" si="0"/>
        <v>99.272314116008147</v>
      </c>
    </row>
    <row r="31" spans="1:9" x14ac:dyDescent="0.45">
      <c r="A31">
        <v>30</v>
      </c>
      <c r="B31">
        <v>0.99367756494141946</v>
      </c>
      <c r="C31">
        <v>0.9938241489730949</v>
      </c>
      <c r="D31">
        <v>-1.465840316754452E-4</v>
      </c>
      <c r="E31">
        <v>30</v>
      </c>
      <c r="F31" t="s">
        <v>6</v>
      </c>
      <c r="G31" s="2">
        <v>43252</v>
      </c>
      <c r="H31">
        <f t="shared" si="0"/>
        <v>99.367756494141943</v>
      </c>
      <c r="I31">
        <f t="shared" si="0"/>
        <v>99.382414897309488</v>
      </c>
    </row>
    <row r="32" spans="1:9" x14ac:dyDescent="0.45">
      <c r="A32">
        <v>31</v>
      </c>
      <c r="B32">
        <v>0.99497538297813837</v>
      </c>
      <c r="C32">
        <v>0.9949565294875593</v>
      </c>
      <c r="D32">
        <v>1.8853490579062712E-5</v>
      </c>
      <c r="E32">
        <v>31</v>
      </c>
      <c r="F32" t="s">
        <v>6</v>
      </c>
      <c r="G32" s="2">
        <v>43282</v>
      </c>
      <c r="H32">
        <f t="shared" si="0"/>
        <v>99.497538297813833</v>
      </c>
      <c r="I32">
        <f t="shared" si="0"/>
        <v>99.495652948755932</v>
      </c>
    </row>
    <row r="33" spans="1:15" x14ac:dyDescent="0.45">
      <c r="A33">
        <v>32</v>
      </c>
      <c r="B33">
        <v>0.99705349153267242</v>
      </c>
      <c r="C33">
        <v>0.99690066086244533</v>
      </c>
      <c r="D33">
        <v>1.5283067022708871E-4</v>
      </c>
      <c r="E33">
        <v>32</v>
      </c>
      <c r="F33" t="s">
        <v>6</v>
      </c>
      <c r="G33" s="2">
        <v>43313</v>
      </c>
      <c r="H33">
        <f t="shared" si="0"/>
        <v>99.705349153267235</v>
      </c>
      <c r="I33">
        <f t="shared" si="0"/>
        <v>99.690066086244528</v>
      </c>
    </row>
    <row r="34" spans="1:15" x14ac:dyDescent="0.45">
      <c r="A34">
        <v>33</v>
      </c>
      <c r="B34">
        <v>1</v>
      </c>
      <c r="C34">
        <v>0.99999999985885379</v>
      </c>
      <c r="D34">
        <v>1.41146205834275E-10</v>
      </c>
      <c r="E34">
        <v>33</v>
      </c>
      <c r="F34" t="s">
        <v>6</v>
      </c>
      <c r="G34" s="2">
        <v>43344</v>
      </c>
      <c r="H34">
        <f t="shared" si="0"/>
        <v>100</v>
      </c>
      <c r="I34">
        <f t="shared" si="0"/>
        <v>99.999999985885381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1.003451785552564</v>
      </c>
      <c r="C35">
        <v>1.003336683216888</v>
      </c>
      <c r="D35">
        <v>1.151023356764647E-4</v>
      </c>
      <c r="E35">
        <v>34</v>
      </c>
      <c r="F35" t="s">
        <v>7</v>
      </c>
      <c r="G35" s="2">
        <v>43374</v>
      </c>
      <c r="H35">
        <f t="shared" si="0"/>
        <v>100.3451785552564</v>
      </c>
      <c r="I35">
        <f>C35*100</f>
        <v>100.33366832168879</v>
      </c>
      <c r="J35">
        <f>H35/H34*100</f>
        <v>100.3451785552564</v>
      </c>
      <c r="K35">
        <f>I35/I34*100</f>
        <v>100.33366833585052</v>
      </c>
      <c r="L35" s="3">
        <f>J35-K35</f>
        <v>1.151021940587782E-2</v>
      </c>
      <c r="M35">
        <f>L35</f>
        <v>1.151021940587782E-2</v>
      </c>
      <c r="N35">
        <f>(B35-C35)/C35*100</f>
        <v>1.1471955286931266E-2</v>
      </c>
      <c r="O35">
        <f>N35</f>
        <v>1.1471955286931266E-2</v>
      </c>
    </row>
    <row r="36" spans="1:15" x14ac:dyDescent="0.45">
      <c r="A36">
        <v>35</v>
      </c>
      <c r="B36">
        <v>1.006445165312374</v>
      </c>
      <c r="C36">
        <v>1.0064458445931499</v>
      </c>
      <c r="D36">
        <v>-6.7928077585044377E-7</v>
      </c>
      <c r="E36">
        <v>35</v>
      </c>
      <c r="F36" t="s">
        <v>7</v>
      </c>
      <c r="G36" s="2">
        <v>43405</v>
      </c>
      <c r="H36">
        <f t="shared" ref="H36:I40" si="1">B36*100</f>
        <v>100.6445165312374</v>
      </c>
      <c r="I36">
        <f t="shared" si="1"/>
        <v>100.64458445931498</v>
      </c>
      <c r="J36">
        <f t="shared" ref="J36:K40" si="2">H36/H35*100</f>
        <v>100.29830827977068</v>
      </c>
      <c r="K36">
        <f t="shared" si="2"/>
        <v>100.30988215902697</v>
      </c>
      <c r="L36" s="3">
        <f t="shared" ref="L36:L40" si="3">J36-K36</f>
        <v>-1.1573879256289388E-2</v>
      </c>
      <c r="M36">
        <f>M35+L36</f>
        <v>-6.3659850411568186E-5</v>
      </c>
      <c r="N36">
        <f t="shared" ref="N36:N40" si="4">(B36-C36)/C36*100</f>
        <v>-6.7493028015336401E-5</v>
      </c>
      <c r="O36">
        <f t="shared" ref="O36:O40" si="5">N36-N35</f>
        <v>-1.1539448314946603E-2</v>
      </c>
    </row>
    <row r="37" spans="1:15" x14ac:dyDescent="0.45">
      <c r="A37">
        <v>36</v>
      </c>
      <c r="B37">
        <v>1.009766012027294</v>
      </c>
      <c r="C37">
        <v>1.009549633062317</v>
      </c>
      <c r="D37">
        <v>2.1637896497694881E-4</v>
      </c>
      <c r="E37">
        <v>36</v>
      </c>
      <c r="F37" t="s">
        <v>7</v>
      </c>
      <c r="G37" s="2">
        <v>43435</v>
      </c>
      <c r="H37">
        <f t="shared" si="1"/>
        <v>100.9766012027294</v>
      </c>
      <c r="I37">
        <f t="shared" si="1"/>
        <v>100.9549633062317</v>
      </c>
      <c r="J37">
        <f t="shared" si="2"/>
        <v>100.32995803739485</v>
      </c>
      <c r="K37">
        <f t="shared" si="2"/>
        <v>100.30839100641545</v>
      </c>
      <c r="L37" s="3">
        <f t="shared" si="3"/>
        <v>2.1567030979397828E-2</v>
      </c>
      <c r="M37">
        <f t="shared" ref="M37:M40" si="6">M36+L37</f>
        <v>2.1503371128986259E-2</v>
      </c>
      <c r="N37">
        <f t="shared" si="4"/>
        <v>2.1433217138675558E-2</v>
      </c>
      <c r="O37">
        <f t="shared" si="5"/>
        <v>2.1500710166690893E-2</v>
      </c>
    </row>
    <row r="38" spans="1:15" x14ac:dyDescent="0.45">
      <c r="A38">
        <v>37</v>
      </c>
      <c r="B38">
        <v>1.0153591905500969</v>
      </c>
      <c r="C38">
        <v>1.0130475540318391</v>
      </c>
      <c r="D38">
        <v>2.311636518258497E-3</v>
      </c>
      <c r="E38">
        <v>37</v>
      </c>
      <c r="F38" t="s">
        <v>7</v>
      </c>
      <c r="G38" s="2">
        <v>43466</v>
      </c>
      <c r="H38">
        <f t="shared" si="1"/>
        <v>101.5359190550097</v>
      </c>
      <c r="I38">
        <f t="shared" si="1"/>
        <v>101.3047554031839</v>
      </c>
      <c r="J38">
        <f t="shared" si="2"/>
        <v>100.55390837641423</v>
      </c>
      <c r="K38">
        <f t="shared" si="2"/>
        <v>100.34648330849387</v>
      </c>
      <c r="L38" s="3">
        <f t="shared" si="3"/>
        <v>0.20742506792035442</v>
      </c>
      <c r="M38">
        <f t="shared" si="6"/>
        <v>0.22892843904934068</v>
      </c>
      <c r="N38">
        <f t="shared" si="4"/>
        <v>0.22818637773298239</v>
      </c>
      <c r="O38">
        <f t="shared" si="5"/>
        <v>0.20675316059430685</v>
      </c>
    </row>
    <row r="39" spans="1:15" x14ac:dyDescent="0.45">
      <c r="A39">
        <v>38</v>
      </c>
      <c r="B39">
        <v>1.0195320652788511</v>
      </c>
      <c r="C39">
        <v>1.0166591019567981</v>
      </c>
      <c r="D39">
        <v>2.872963322053224E-3</v>
      </c>
      <c r="E39">
        <v>38</v>
      </c>
      <c r="F39" t="s">
        <v>7</v>
      </c>
      <c r="G39" s="2">
        <v>43497</v>
      </c>
      <c r="H39">
        <f t="shared" si="1"/>
        <v>101.95320652788511</v>
      </c>
      <c r="I39">
        <f t="shared" si="1"/>
        <v>101.66591019567981</v>
      </c>
      <c r="J39">
        <f t="shared" si="2"/>
        <v>100.41097522606688</v>
      </c>
      <c r="K39">
        <f t="shared" si="2"/>
        <v>100.35650329647265</v>
      </c>
      <c r="L39" s="3">
        <f t="shared" si="3"/>
        <v>5.4471929594228641E-2</v>
      </c>
      <c r="M39">
        <f t="shared" si="6"/>
        <v>0.28340036864356932</v>
      </c>
      <c r="N39">
        <f t="shared" si="4"/>
        <v>0.28258865892444301</v>
      </c>
      <c r="O39">
        <f t="shared" si="5"/>
        <v>5.4402281191460622E-2</v>
      </c>
    </row>
    <row r="40" spans="1:15" x14ac:dyDescent="0.45">
      <c r="A40">
        <v>39</v>
      </c>
      <c r="B40">
        <v>1.022999745526957</v>
      </c>
      <c r="C40">
        <v>1.0206015259279551</v>
      </c>
      <c r="D40">
        <v>2.3982195990011061E-3</v>
      </c>
      <c r="E40">
        <v>39</v>
      </c>
      <c r="F40" t="s">
        <v>7</v>
      </c>
      <c r="G40" s="2">
        <v>43525</v>
      </c>
      <c r="H40">
        <f t="shared" si="1"/>
        <v>102.2999745526957</v>
      </c>
      <c r="I40">
        <f t="shared" si="1"/>
        <v>102.0601525927955</v>
      </c>
      <c r="J40">
        <f t="shared" si="2"/>
        <v>100.34012468721691</v>
      </c>
      <c r="K40">
        <f t="shared" si="2"/>
        <v>100.38778229237006</v>
      </c>
      <c r="L40" s="3">
        <f t="shared" si="3"/>
        <v>-4.7657605153148097E-2</v>
      </c>
      <c r="M40">
        <f t="shared" si="6"/>
        <v>0.23574276349042123</v>
      </c>
      <c r="N40">
        <f t="shared" si="4"/>
        <v>0.23498099288274879</v>
      </c>
      <c r="O40">
        <f t="shared" si="5"/>
        <v>-4.7607666041694224E-2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2026-05-29T08:40:32Z</dcterms:created>
  <dcterms:modified xsi:type="dcterms:W3CDTF">2026-06-29T10:40:35Z</dcterms:modified>
</cp:coreProperties>
</file>