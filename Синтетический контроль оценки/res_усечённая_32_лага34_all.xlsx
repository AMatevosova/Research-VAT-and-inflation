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маем\Все по внешним данным\"/>
    </mc:Choice>
  </mc:AlternateContent>
  <xr:revisionPtr revIDLastSave="0" documentId="13_ncr:1_{7E0A7A8A-C085-43A4-9D6C-1344D935912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" i="1" l="1"/>
  <c r="O42" i="1" s="1"/>
  <c r="J42" i="1"/>
  <c r="I42" i="1"/>
  <c r="K42" i="1" s="1"/>
  <c r="H42" i="1"/>
  <c r="N41" i="1"/>
  <c r="O41" i="1" s="1"/>
  <c r="I41" i="1"/>
  <c r="K41" i="1" s="1"/>
  <c r="H41" i="1"/>
  <c r="J41" i="1" s="1"/>
  <c r="L41" i="1" s="1"/>
  <c r="N40" i="1"/>
  <c r="O40" i="1" s="1"/>
  <c r="I40" i="1"/>
  <c r="K40" i="1" s="1"/>
  <c r="H40" i="1"/>
  <c r="J40" i="1" s="1"/>
  <c r="L40" i="1" s="1"/>
  <c r="N39" i="1"/>
  <c r="O39" i="1" s="1"/>
  <c r="K39" i="1"/>
  <c r="I39" i="1"/>
  <c r="H39" i="1"/>
  <c r="J39" i="1" s="1"/>
  <c r="L39" i="1" s="1"/>
  <c r="N38" i="1"/>
  <c r="O38" i="1" s="1"/>
  <c r="I38" i="1"/>
  <c r="K38" i="1" s="1"/>
  <c r="H38" i="1"/>
  <c r="J38" i="1" s="1"/>
  <c r="L38" i="1" s="1"/>
  <c r="N37" i="1"/>
  <c r="O37" i="1" s="1"/>
  <c r="I37" i="1"/>
  <c r="K37" i="1" s="1"/>
  <c r="H37" i="1"/>
  <c r="J37" i="1" s="1"/>
  <c r="L37" i="1" s="1"/>
  <c r="N36" i="1"/>
  <c r="O36" i="1" s="1"/>
  <c r="I36" i="1"/>
  <c r="K36" i="1" s="1"/>
  <c r="H36" i="1"/>
  <c r="J36" i="1" s="1"/>
  <c r="L36" i="1" s="1"/>
  <c r="N35" i="1"/>
  <c r="O35" i="1" s="1"/>
  <c r="I35" i="1"/>
  <c r="K35" i="1" s="1"/>
  <c r="H35" i="1"/>
  <c r="J35" i="1" s="1"/>
  <c r="L35" i="1" s="1"/>
  <c r="M35" i="1" s="1"/>
  <c r="M36" i="1" s="1"/>
  <c r="M37" i="1" s="1"/>
  <c r="M38" i="1" s="1"/>
  <c r="M39" i="1" s="1"/>
  <c r="M40" i="1" s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M41" i="1" l="1"/>
  <c r="L42" i="1"/>
  <c r="M42" i="1" l="1"/>
</calcChain>
</file>

<file path=xl/sharedStrings.xml><?xml version="1.0" encoding="utf-8"?>
<sst xmlns="http://schemas.openxmlformats.org/spreadsheetml/2006/main" count="55" uniqueCount="14">
  <si>
    <t>time_unit</t>
  </si>
  <si>
    <t>real_treatment</t>
  </si>
  <si>
    <t>synthetic_control</t>
  </si>
  <si>
    <t>difference</t>
  </si>
  <si>
    <t>time_period</t>
  </si>
  <si>
    <t>period_type</t>
  </si>
  <si>
    <t>Pre-treatment</t>
  </si>
  <si>
    <t>Post-treatment</t>
  </si>
  <si>
    <t>Treatment</t>
  </si>
  <si>
    <t>Control</t>
  </si>
  <si>
    <t>Эффект</t>
  </si>
  <si>
    <t>Накоп эффект</t>
  </si>
  <si>
    <t>Накоп по формуле с отношением</t>
  </si>
  <si>
    <t>Эффект из накопа по формуле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</si>
</sst>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topLeftCell="A27" workbookViewId="0">
      <selection activeCell="K32" sqref="K32"/>
    </sheetView>
  </sheetViews>
  <sheetFormatPr defaultRowHeight="14.25" x14ac:dyDescent="0.45"/>
  <cols>
    <col min="7" max="7" width="9.6640625" bestFit="1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</v>
      </c>
      <c r="I1" s="1" t="s">
        <v>2</v>
      </c>
    </row>
    <row r="2" spans="1:9" x14ac:dyDescent="0.45">
      <c r="A2">
        <v>1</v>
      </c>
      <c r="B2">
        <v>0.87233760496547819</v>
      </c>
      <c r="C2">
        <v>0.87230699078917884</v>
      </c>
      <c r="D2">
        <v>3.0614176299348372E-5</v>
      </c>
      <c r="E2">
        <v>1</v>
      </c>
      <c r="F2" t="s">
        <v>6</v>
      </c>
      <c r="G2" s="2">
        <v>44927</v>
      </c>
      <c r="H2">
        <f>B2*100</f>
        <v>87.233760496547816</v>
      </c>
      <c r="I2">
        <f>C2*100</f>
        <v>87.23069907891788</v>
      </c>
    </row>
    <row r="3" spans="1:9" x14ac:dyDescent="0.45">
      <c r="A3">
        <v>2</v>
      </c>
      <c r="B3">
        <v>0.87100110269620634</v>
      </c>
      <c r="C3">
        <v>0.87108337737103958</v>
      </c>
      <c r="D3">
        <v>-8.2274674833238137E-5</v>
      </c>
      <c r="E3">
        <v>2</v>
      </c>
      <c r="F3" t="s">
        <v>6</v>
      </c>
      <c r="G3" s="2">
        <v>44958</v>
      </c>
      <c r="H3">
        <f t="shared" ref="H3:I35" si="0">B3*100</f>
        <v>87.100110269620629</v>
      </c>
      <c r="I3">
        <f t="shared" si="0"/>
        <v>87.108337737103952</v>
      </c>
    </row>
    <row r="4" spans="1:9" x14ac:dyDescent="0.45">
      <c r="A4">
        <v>3</v>
      </c>
      <c r="B4">
        <v>0.87166895226864183</v>
      </c>
      <c r="C4">
        <v>0.8717333527454405</v>
      </c>
      <c r="D4">
        <v>-6.440047679867611E-5</v>
      </c>
      <c r="E4">
        <v>3</v>
      </c>
      <c r="F4" t="s">
        <v>6</v>
      </c>
      <c r="G4" s="2">
        <v>44986</v>
      </c>
      <c r="H4">
        <f t="shared" si="0"/>
        <v>87.166895226864185</v>
      </c>
      <c r="I4">
        <f t="shared" si="0"/>
        <v>87.173335274544044</v>
      </c>
    </row>
    <row r="5" spans="1:9" x14ac:dyDescent="0.45">
      <c r="A5">
        <v>4</v>
      </c>
      <c r="B5">
        <v>0.87252007675223675</v>
      </c>
      <c r="C5">
        <v>0.87226402404630488</v>
      </c>
      <c r="D5">
        <v>2.5605270593187512E-4</v>
      </c>
      <c r="E5">
        <v>4</v>
      </c>
      <c r="F5" t="s">
        <v>6</v>
      </c>
      <c r="G5" s="2">
        <v>45017</v>
      </c>
      <c r="H5">
        <f t="shared" si="0"/>
        <v>87.25200767522368</v>
      </c>
      <c r="I5">
        <f t="shared" si="0"/>
        <v>87.226402404630491</v>
      </c>
    </row>
    <row r="6" spans="1:9" x14ac:dyDescent="0.45">
      <c r="A6">
        <v>5</v>
      </c>
      <c r="B6">
        <v>0.87286486928190699</v>
      </c>
      <c r="C6">
        <v>0.87291851237371787</v>
      </c>
      <c r="D6">
        <v>-5.3643091810884343E-5</v>
      </c>
      <c r="E6">
        <v>5</v>
      </c>
      <c r="F6" t="s">
        <v>6</v>
      </c>
      <c r="G6" s="2">
        <v>45047</v>
      </c>
      <c r="H6">
        <f t="shared" si="0"/>
        <v>87.286486928190698</v>
      </c>
      <c r="I6">
        <f t="shared" si="0"/>
        <v>87.291851237371787</v>
      </c>
    </row>
    <row r="7" spans="1:9" x14ac:dyDescent="0.45">
      <c r="A7">
        <v>6</v>
      </c>
      <c r="B7">
        <v>0.87313059661111869</v>
      </c>
      <c r="C7">
        <v>0.87348410435724433</v>
      </c>
      <c r="D7">
        <v>-3.535077461256364E-4</v>
      </c>
      <c r="E7">
        <v>6</v>
      </c>
      <c r="F7" t="s">
        <v>6</v>
      </c>
      <c r="G7" s="2">
        <v>45078</v>
      </c>
      <c r="H7">
        <f t="shared" si="0"/>
        <v>87.313059661111865</v>
      </c>
      <c r="I7">
        <f t="shared" si="0"/>
        <v>87.348410435724432</v>
      </c>
    </row>
    <row r="8" spans="1:9" x14ac:dyDescent="0.45">
      <c r="A8">
        <v>7</v>
      </c>
      <c r="B8">
        <v>0.87651772778591108</v>
      </c>
      <c r="C8">
        <v>0.87631541354530529</v>
      </c>
      <c r="D8">
        <v>2.0231424060579431E-4</v>
      </c>
      <c r="E8">
        <v>7</v>
      </c>
      <c r="F8" t="s">
        <v>6</v>
      </c>
      <c r="G8" s="2">
        <v>45108</v>
      </c>
      <c r="H8">
        <f t="shared" si="0"/>
        <v>87.651772778591109</v>
      </c>
      <c r="I8">
        <f t="shared" si="0"/>
        <v>87.631541354530526</v>
      </c>
    </row>
    <row r="9" spans="1:9" x14ac:dyDescent="0.45">
      <c r="A9">
        <v>8</v>
      </c>
      <c r="B9">
        <v>0.88171271295817366</v>
      </c>
      <c r="C9">
        <v>0.88156545597555258</v>
      </c>
      <c r="D9">
        <v>1.4725698262108011E-4</v>
      </c>
      <c r="E9">
        <v>8</v>
      </c>
      <c r="F9" t="s">
        <v>6</v>
      </c>
      <c r="G9" s="2">
        <v>45139</v>
      </c>
      <c r="H9">
        <f t="shared" si="0"/>
        <v>88.171271295817363</v>
      </c>
      <c r="I9">
        <f t="shared" si="0"/>
        <v>88.156545597555265</v>
      </c>
    </row>
    <row r="10" spans="1:9" x14ac:dyDescent="0.45">
      <c r="A10">
        <v>9</v>
      </c>
      <c r="B10">
        <v>0.88786486134576059</v>
      </c>
      <c r="C10">
        <v>0.88792145649529419</v>
      </c>
      <c r="D10">
        <v>-5.6595149533600342E-5</v>
      </c>
      <c r="E10">
        <v>9</v>
      </c>
      <c r="F10" t="s">
        <v>6</v>
      </c>
      <c r="G10" s="2">
        <v>45170</v>
      </c>
      <c r="H10">
        <f t="shared" si="0"/>
        <v>88.786486134576066</v>
      </c>
      <c r="I10">
        <f t="shared" si="0"/>
        <v>88.792145649529417</v>
      </c>
    </row>
    <row r="11" spans="1:9" x14ac:dyDescent="0.45">
      <c r="A11">
        <v>10</v>
      </c>
      <c r="B11">
        <v>0.89475992749319733</v>
      </c>
      <c r="C11">
        <v>0.89478825342265078</v>
      </c>
      <c r="D11">
        <v>-2.832592945345436E-5</v>
      </c>
      <c r="E11">
        <v>10</v>
      </c>
      <c r="F11" t="s">
        <v>6</v>
      </c>
      <c r="G11" s="2">
        <v>45200</v>
      </c>
      <c r="H11">
        <f t="shared" si="0"/>
        <v>89.47599274931973</v>
      </c>
      <c r="I11">
        <f t="shared" si="0"/>
        <v>89.478825342265083</v>
      </c>
    </row>
    <row r="12" spans="1:9" x14ac:dyDescent="0.45">
      <c r="A12">
        <v>11</v>
      </c>
      <c r="B12">
        <v>0.89933442860292545</v>
      </c>
      <c r="C12">
        <v>0.89916266688002677</v>
      </c>
      <c r="D12">
        <v>1.7176172289867789E-4</v>
      </c>
      <c r="E12">
        <v>11</v>
      </c>
      <c r="F12" t="s">
        <v>6</v>
      </c>
      <c r="G12" s="2">
        <v>45231</v>
      </c>
      <c r="H12">
        <f t="shared" si="0"/>
        <v>89.933442860292544</v>
      </c>
      <c r="I12">
        <f t="shared" si="0"/>
        <v>89.916266688002679</v>
      </c>
    </row>
    <row r="13" spans="1:9" x14ac:dyDescent="0.45">
      <c r="A13">
        <v>12</v>
      </c>
      <c r="B13">
        <v>0.90314520191613512</v>
      </c>
      <c r="C13">
        <v>0.90331968604240043</v>
      </c>
      <c r="D13">
        <v>-1.7448412626530629E-4</v>
      </c>
      <c r="E13">
        <v>12</v>
      </c>
      <c r="F13" t="s">
        <v>6</v>
      </c>
      <c r="G13" s="2">
        <v>45261</v>
      </c>
      <c r="H13">
        <f t="shared" si="0"/>
        <v>90.314520191613511</v>
      </c>
      <c r="I13">
        <f t="shared" si="0"/>
        <v>90.331968604240046</v>
      </c>
    </row>
    <row r="14" spans="1:9" x14ac:dyDescent="0.45">
      <c r="A14">
        <v>13</v>
      </c>
      <c r="B14">
        <v>0.90750485422336191</v>
      </c>
      <c r="C14">
        <v>0.90752954817838571</v>
      </c>
      <c r="D14">
        <v>-2.4693955023802339E-5</v>
      </c>
      <c r="E14">
        <v>13</v>
      </c>
      <c r="F14" t="s">
        <v>6</v>
      </c>
      <c r="G14" s="2">
        <v>45292</v>
      </c>
      <c r="H14">
        <f t="shared" si="0"/>
        <v>90.750485422336197</v>
      </c>
      <c r="I14">
        <f t="shared" si="0"/>
        <v>90.752954817838571</v>
      </c>
    </row>
    <row r="15" spans="1:9" x14ac:dyDescent="0.45">
      <c r="A15">
        <v>14</v>
      </c>
      <c r="B15">
        <v>0.91138658880763723</v>
      </c>
      <c r="C15">
        <v>0.91134880603999535</v>
      </c>
      <c r="D15">
        <v>3.778276764188071E-5</v>
      </c>
      <c r="E15">
        <v>14</v>
      </c>
      <c r="F15" t="s">
        <v>6</v>
      </c>
      <c r="G15" s="2">
        <v>45323</v>
      </c>
      <c r="H15">
        <f t="shared" si="0"/>
        <v>91.138658880763728</v>
      </c>
      <c r="I15">
        <f t="shared" si="0"/>
        <v>91.134880603999534</v>
      </c>
    </row>
    <row r="16" spans="1:9" x14ac:dyDescent="0.45">
      <c r="A16">
        <v>15</v>
      </c>
      <c r="B16">
        <v>0.91504548568034261</v>
      </c>
      <c r="C16">
        <v>0.91521719325949136</v>
      </c>
      <c r="D16">
        <v>-1.717075791487499E-4</v>
      </c>
      <c r="E16">
        <v>15</v>
      </c>
      <c r="F16" t="s">
        <v>6</v>
      </c>
      <c r="G16" s="2">
        <v>45352</v>
      </c>
      <c r="H16">
        <f t="shared" si="0"/>
        <v>91.504548568034267</v>
      </c>
      <c r="I16">
        <f t="shared" si="0"/>
        <v>91.521719325949135</v>
      </c>
    </row>
    <row r="17" spans="1:9" x14ac:dyDescent="0.45">
      <c r="A17">
        <v>16</v>
      </c>
      <c r="B17">
        <v>0.92094978672780048</v>
      </c>
      <c r="C17">
        <v>0.92073547332024941</v>
      </c>
      <c r="D17">
        <v>2.1431340755107001E-4</v>
      </c>
      <c r="E17">
        <v>16</v>
      </c>
      <c r="F17" t="s">
        <v>6</v>
      </c>
      <c r="G17" s="2">
        <v>45383</v>
      </c>
      <c r="H17">
        <f t="shared" si="0"/>
        <v>92.094978672780044</v>
      </c>
      <c r="I17">
        <f t="shared" si="0"/>
        <v>92.073547332024944</v>
      </c>
    </row>
    <row r="18" spans="1:9" x14ac:dyDescent="0.45">
      <c r="A18">
        <v>17</v>
      </c>
      <c r="B18">
        <v>0.92500855237034774</v>
      </c>
      <c r="C18">
        <v>0.9251352744410809</v>
      </c>
      <c r="D18">
        <v>-1.267220707331651E-4</v>
      </c>
      <c r="E18">
        <v>17</v>
      </c>
      <c r="F18" t="s">
        <v>6</v>
      </c>
      <c r="G18" s="2">
        <v>45413</v>
      </c>
      <c r="H18">
        <f t="shared" si="0"/>
        <v>92.50085523703477</v>
      </c>
      <c r="I18">
        <f t="shared" si="0"/>
        <v>92.513527444108092</v>
      </c>
    </row>
    <row r="19" spans="1:9" x14ac:dyDescent="0.45">
      <c r="A19">
        <v>18</v>
      </c>
      <c r="B19">
        <v>0.92729744274141146</v>
      </c>
      <c r="C19">
        <v>0.92717627332752084</v>
      </c>
      <c r="D19">
        <v>1.211694138906205E-4</v>
      </c>
      <c r="E19">
        <v>18</v>
      </c>
      <c r="F19" t="s">
        <v>6</v>
      </c>
      <c r="G19" s="2">
        <v>45444</v>
      </c>
      <c r="H19">
        <f t="shared" si="0"/>
        <v>92.72974427414114</v>
      </c>
      <c r="I19">
        <f t="shared" si="0"/>
        <v>92.717627332752087</v>
      </c>
    </row>
    <row r="20" spans="1:9" x14ac:dyDescent="0.45">
      <c r="A20">
        <v>19</v>
      </c>
      <c r="B20">
        <v>0.93011138377493319</v>
      </c>
      <c r="C20">
        <v>0.92989596786494433</v>
      </c>
      <c r="D20">
        <v>2.154159099888586E-4</v>
      </c>
      <c r="E20">
        <v>19</v>
      </c>
      <c r="F20" t="s">
        <v>6</v>
      </c>
      <c r="G20" s="2">
        <v>45474</v>
      </c>
      <c r="H20">
        <f t="shared" si="0"/>
        <v>93.011138377493324</v>
      </c>
      <c r="I20">
        <f t="shared" si="0"/>
        <v>92.989596786494431</v>
      </c>
    </row>
    <row r="21" spans="1:9" x14ac:dyDescent="0.45">
      <c r="A21">
        <v>20</v>
      </c>
      <c r="B21">
        <v>0.93403519711136185</v>
      </c>
      <c r="C21">
        <v>0.93427960669805177</v>
      </c>
      <c r="D21">
        <v>-2.4440958668991991E-4</v>
      </c>
      <c r="E21">
        <v>20</v>
      </c>
      <c r="F21" t="s">
        <v>6</v>
      </c>
      <c r="G21" s="2">
        <v>45505</v>
      </c>
      <c r="H21">
        <f t="shared" si="0"/>
        <v>93.403519711136184</v>
      </c>
      <c r="I21">
        <f t="shared" si="0"/>
        <v>93.427960669805174</v>
      </c>
    </row>
    <row r="22" spans="1:9" x14ac:dyDescent="0.45">
      <c r="A22">
        <v>21</v>
      </c>
      <c r="B22">
        <v>0.94060643016089984</v>
      </c>
      <c r="C22">
        <v>0.94065031575281888</v>
      </c>
      <c r="D22">
        <v>-4.3885591919035072E-5</v>
      </c>
      <c r="E22">
        <v>21</v>
      </c>
      <c r="F22" t="s">
        <v>6</v>
      </c>
      <c r="G22" s="2">
        <v>45536</v>
      </c>
      <c r="H22">
        <f t="shared" si="0"/>
        <v>94.060643016089983</v>
      </c>
      <c r="I22">
        <f t="shared" si="0"/>
        <v>94.065031575281893</v>
      </c>
    </row>
    <row r="23" spans="1:9" x14ac:dyDescent="0.45">
      <c r="A23">
        <v>22</v>
      </c>
      <c r="B23">
        <v>0.94882810598057155</v>
      </c>
      <c r="C23">
        <v>0.94883288551676292</v>
      </c>
      <c r="D23">
        <v>-4.7795361913793846E-6</v>
      </c>
      <c r="E23">
        <v>22</v>
      </c>
      <c r="F23" t="s">
        <v>6</v>
      </c>
      <c r="G23" s="2">
        <v>45566</v>
      </c>
      <c r="H23">
        <f t="shared" si="0"/>
        <v>94.882810598057148</v>
      </c>
      <c r="I23">
        <f t="shared" si="0"/>
        <v>94.883288551676287</v>
      </c>
    </row>
    <row r="24" spans="1:9" x14ac:dyDescent="0.45">
      <c r="A24">
        <v>23</v>
      </c>
      <c r="B24">
        <v>0.95783623605013168</v>
      </c>
      <c r="C24">
        <v>0.95780114564343899</v>
      </c>
      <c r="D24">
        <v>3.509040669269492E-5</v>
      </c>
      <c r="E24">
        <v>23</v>
      </c>
      <c r="F24" t="s">
        <v>6</v>
      </c>
      <c r="G24" s="2">
        <v>45597</v>
      </c>
      <c r="H24">
        <f t="shared" si="0"/>
        <v>95.783623605013162</v>
      </c>
      <c r="I24">
        <f t="shared" si="0"/>
        <v>95.780114564343904</v>
      </c>
    </row>
    <row r="25" spans="1:9" x14ac:dyDescent="0.45">
      <c r="A25">
        <v>24</v>
      </c>
      <c r="B25">
        <v>0.96729125604649113</v>
      </c>
      <c r="C25">
        <v>0.96734164436009185</v>
      </c>
      <c r="D25">
        <v>-5.0388313600713268E-5</v>
      </c>
      <c r="E25">
        <v>24</v>
      </c>
      <c r="F25" t="s">
        <v>6</v>
      </c>
      <c r="G25" s="2">
        <v>45627</v>
      </c>
      <c r="H25">
        <f t="shared" si="0"/>
        <v>96.729125604649113</v>
      </c>
      <c r="I25">
        <f t="shared" si="0"/>
        <v>96.734164436009181</v>
      </c>
    </row>
    <row r="26" spans="1:9" x14ac:dyDescent="0.45">
      <c r="A26">
        <v>25</v>
      </c>
      <c r="B26">
        <v>0.97463015919953977</v>
      </c>
      <c r="C26">
        <v>0.97454382019576258</v>
      </c>
      <c r="D26">
        <v>8.6339003777191614E-5</v>
      </c>
      <c r="E26">
        <v>25</v>
      </c>
      <c r="F26" t="s">
        <v>6</v>
      </c>
      <c r="G26" s="2">
        <v>45658</v>
      </c>
      <c r="H26">
        <f t="shared" si="0"/>
        <v>97.463015919953975</v>
      </c>
      <c r="I26">
        <f t="shared" si="0"/>
        <v>97.454382019576258</v>
      </c>
    </row>
    <row r="27" spans="1:9" x14ac:dyDescent="0.45">
      <c r="A27">
        <v>26</v>
      </c>
      <c r="B27">
        <v>0.98089306502122431</v>
      </c>
      <c r="C27">
        <v>0.98074320107058799</v>
      </c>
      <c r="D27">
        <v>1.4986395063631969E-4</v>
      </c>
      <c r="E27">
        <v>26</v>
      </c>
      <c r="F27" t="s">
        <v>6</v>
      </c>
      <c r="G27" s="2">
        <v>45689</v>
      </c>
      <c r="H27">
        <f t="shared" si="0"/>
        <v>98.089306502122426</v>
      </c>
      <c r="I27">
        <f t="shared" si="0"/>
        <v>98.074320107058796</v>
      </c>
    </row>
    <row r="28" spans="1:9" x14ac:dyDescent="0.45">
      <c r="A28">
        <v>27</v>
      </c>
      <c r="B28">
        <v>0.98564343367297103</v>
      </c>
      <c r="C28">
        <v>0.98574091075463899</v>
      </c>
      <c r="D28">
        <v>-9.7477081667962651E-5</v>
      </c>
      <c r="E28">
        <v>27</v>
      </c>
      <c r="F28" t="s">
        <v>6</v>
      </c>
      <c r="G28" s="2">
        <v>45717</v>
      </c>
      <c r="H28">
        <f t="shared" si="0"/>
        <v>98.564343367297099</v>
      </c>
      <c r="I28">
        <f t="shared" si="0"/>
        <v>98.574091075463897</v>
      </c>
    </row>
    <row r="29" spans="1:9" x14ac:dyDescent="0.45">
      <c r="A29">
        <v>28</v>
      </c>
      <c r="B29">
        <v>0.98854137903971684</v>
      </c>
      <c r="C29">
        <v>0.9885498250680792</v>
      </c>
      <c r="D29">
        <v>-8.4460283623633003E-6</v>
      </c>
      <c r="E29">
        <v>28</v>
      </c>
      <c r="F29" t="s">
        <v>6</v>
      </c>
      <c r="G29" s="2">
        <v>45748</v>
      </c>
      <c r="H29">
        <f t="shared" si="0"/>
        <v>98.85413790397169</v>
      </c>
      <c r="I29">
        <f t="shared" si="0"/>
        <v>98.854982506807914</v>
      </c>
    </row>
    <row r="30" spans="1:9" x14ac:dyDescent="0.45">
      <c r="A30">
        <v>29</v>
      </c>
      <c r="B30">
        <v>0.98920897172425915</v>
      </c>
      <c r="C30">
        <v>0.9892263902445475</v>
      </c>
      <c r="D30">
        <v>-1.7418520288359222E-5</v>
      </c>
      <c r="E30">
        <v>29</v>
      </c>
      <c r="F30" t="s">
        <v>6</v>
      </c>
      <c r="G30" s="2">
        <v>45778</v>
      </c>
      <c r="H30">
        <f t="shared" si="0"/>
        <v>98.92089717242591</v>
      </c>
      <c r="I30">
        <f t="shared" si="0"/>
        <v>98.922639024454753</v>
      </c>
    </row>
    <row r="31" spans="1:9" x14ac:dyDescent="0.45">
      <c r="A31">
        <v>30</v>
      </c>
      <c r="B31">
        <v>0.99060632706711449</v>
      </c>
      <c r="C31">
        <v>0.99072795513149725</v>
      </c>
      <c r="D31">
        <v>-1.216280643827616E-4</v>
      </c>
      <c r="E31">
        <v>30</v>
      </c>
      <c r="F31" t="s">
        <v>6</v>
      </c>
      <c r="G31" s="2">
        <v>45809</v>
      </c>
      <c r="H31">
        <f t="shared" si="0"/>
        <v>99.060632706711445</v>
      </c>
      <c r="I31">
        <f t="shared" si="0"/>
        <v>99.072795513149728</v>
      </c>
    </row>
    <row r="32" spans="1:9" x14ac:dyDescent="0.45">
      <c r="A32">
        <v>31</v>
      </c>
      <c r="B32">
        <v>0.99346022174052773</v>
      </c>
      <c r="C32">
        <v>0.99332737427219542</v>
      </c>
      <c r="D32">
        <v>1.328474683323089E-4</v>
      </c>
      <c r="E32">
        <v>31</v>
      </c>
      <c r="F32" t="s">
        <v>6</v>
      </c>
      <c r="G32" s="2">
        <v>45839</v>
      </c>
      <c r="H32">
        <f t="shared" si="0"/>
        <v>99.346022174052777</v>
      </c>
      <c r="I32">
        <f t="shared" si="0"/>
        <v>99.332737427219541</v>
      </c>
    </row>
    <row r="33" spans="1:15" x14ac:dyDescent="0.45">
      <c r="A33">
        <v>32</v>
      </c>
      <c r="B33">
        <v>0.99669082637501172</v>
      </c>
      <c r="C33">
        <v>0.99682597038955267</v>
      </c>
      <c r="D33">
        <v>-1.3514401454095551E-4</v>
      </c>
      <c r="E33">
        <v>32</v>
      </c>
      <c r="F33" t="s">
        <v>6</v>
      </c>
      <c r="G33" s="2">
        <v>45870</v>
      </c>
      <c r="H33">
        <f t="shared" si="0"/>
        <v>99.669082637501177</v>
      </c>
      <c r="I33">
        <f t="shared" si="0"/>
        <v>99.682597038955265</v>
      </c>
    </row>
    <row r="34" spans="1:15" x14ac:dyDescent="0.45">
      <c r="A34">
        <v>33</v>
      </c>
      <c r="B34">
        <v>1</v>
      </c>
      <c r="C34">
        <v>0.99999999998207723</v>
      </c>
      <c r="D34">
        <v>1.7922774375733749E-11</v>
      </c>
      <c r="E34">
        <v>33</v>
      </c>
      <c r="F34" t="s">
        <v>6</v>
      </c>
      <c r="G34" s="2">
        <v>45901</v>
      </c>
      <c r="H34">
        <f t="shared" si="0"/>
        <v>100</v>
      </c>
      <c r="I34">
        <f t="shared" si="0"/>
        <v>99.999999998207727</v>
      </c>
      <c r="J34" t="s">
        <v>8</v>
      </c>
      <c r="K34" t="s">
        <v>9</v>
      </c>
      <c r="L34" t="s">
        <v>10</v>
      </c>
      <c r="M34" t="s">
        <v>11</v>
      </c>
      <c r="N34" t="s">
        <v>12</v>
      </c>
      <c r="O34" t="s">
        <v>13</v>
      </c>
    </row>
    <row r="35" spans="1:15" x14ac:dyDescent="0.45">
      <c r="A35">
        <v>34</v>
      </c>
      <c r="B35">
        <v>1.00495882164975</v>
      </c>
      <c r="C35">
        <v>1.003038197880727</v>
      </c>
      <c r="D35">
        <v>1.920623769022578E-3</v>
      </c>
      <c r="E35">
        <v>34</v>
      </c>
      <c r="F35" t="s">
        <v>7</v>
      </c>
      <c r="G35" s="2">
        <v>45931</v>
      </c>
      <c r="H35">
        <f t="shared" si="0"/>
        <v>100.495882164975</v>
      </c>
      <c r="I35">
        <f>C35*100</f>
        <v>100.3038197880727</v>
      </c>
      <c r="J35">
        <f>H35/H34*100</f>
        <v>100.495882164975</v>
      </c>
      <c r="K35">
        <f>I35/I34*100</f>
        <v>100.30381978987042</v>
      </c>
      <c r="L35" s="3">
        <f>(J35-K35)/K35*100</f>
        <v>0.19148061909002193</v>
      </c>
      <c r="M35">
        <f>L35</f>
        <v>0.19148061909002193</v>
      </c>
      <c r="N35">
        <f>(B35-C35)/C35*100</f>
        <v>0.1914806208857269</v>
      </c>
      <c r="O35" s="3">
        <f>N35</f>
        <v>0.1914806208857269</v>
      </c>
    </row>
    <row r="36" spans="1:15" x14ac:dyDescent="0.45">
      <c r="A36">
        <v>35</v>
      </c>
      <c r="B36">
        <v>1.0094008893604069</v>
      </c>
      <c r="C36">
        <v>1.0065437169232549</v>
      </c>
      <c r="D36">
        <v>2.8571724371524439E-3</v>
      </c>
      <c r="E36">
        <v>35</v>
      </c>
      <c r="F36" t="s">
        <v>7</v>
      </c>
      <c r="G36" s="2">
        <v>45962</v>
      </c>
      <c r="H36">
        <f t="shared" ref="H36:I42" si="1">B36*100</f>
        <v>100.94008893604069</v>
      </c>
      <c r="I36">
        <f t="shared" si="1"/>
        <v>100.6543716923255</v>
      </c>
      <c r="J36">
        <f t="shared" ref="J36:K42" si="2">H36/H35*100</f>
        <v>100.44201489801988</v>
      </c>
      <c r="K36">
        <f t="shared" si="2"/>
        <v>100.34949008421958</v>
      </c>
      <c r="L36" s="3">
        <f>(J36-K36)/K36*100</f>
        <v>9.2202574943473073E-2</v>
      </c>
      <c r="M36">
        <f>M35+L36</f>
        <v>0.28368319403349501</v>
      </c>
      <c r="N36">
        <f t="shared" ref="N36:N40" si="3">(B36-C36)/C36*100</f>
        <v>0.28385974589217455</v>
      </c>
      <c r="O36" s="3">
        <f t="shared" ref="O36:O40" si="4">N36-N35</f>
        <v>9.2379125006447654E-2</v>
      </c>
    </row>
    <row r="37" spans="1:15" x14ac:dyDescent="0.45">
      <c r="A37">
        <v>36</v>
      </c>
      <c r="B37">
        <v>1.015452391601156</v>
      </c>
      <c r="C37">
        <v>1.0112028150556061</v>
      </c>
      <c r="D37">
        <v>4.2495765455490284E-3</v>
      </c>
      <c r="E37">
        <v>36</v>
      </c>
      <c r="F37" t="s">
        <v>7</v>
      </c>
      <c r="G37" s="2">
        <v>45992</v>
      </c>
      <c r="H37">
        <f t="shared" si="1"/>
        <v>101.5452391601156</v>
      </c>
      <c r="I37">
        <f t="shared" si="1"/>
        <v>101.1202815055606</v>
      </c>
      <c r="J37">
        <f t="shared" si="2"/>
        <v>100.59951425687603</v>
      </c>
      <c r="K37">
        <f t="shared" si="2"/>
        <v>100.46288085197061</v>
      </c>
      <c r="L37" s="3">
        <f t="shared" ref="L37:L42" si="5">(J37-K37)/K37*100</f>
        <v>0.13600386903770978</v>
      </c>
      <c r="M37">
        <f t="shared" ref="M37:M42" si="6">M36+L37</f>
        <v>0.41968706307120479</v>
      </c>
      <c r="N37">
        <f t="shared" si="3"/>
        <v>0.42024967516691808</v>
      </c>
      <c r="O37" s="3">
        <f t="shared" si="4"/>
        <v>0.13638992927474353</v>
      </c>
    </row>
    <row r="38" spans="1:15" x14ac:dyDescent="0.45">
      <c r="A38">
        <v>37</v>
      </c>
      <c r="B38">
        <v>1.0240634895365359</v>
      </c>
      <c r="C38">
        <v>1.0156293621069661</v>
      </c>
      <c r="D38">
        <v>8.4341274295696156E-3</v>
      </c>
      <c r="E38">
        <v>37</v>
      </c>
      <c r="F38" t="s">
        <v>7</v>
      </c>
      <c r="G38" s="2">
        <v>46023</v>
      </c>
      <c r="H38">
        <f t="shared" si="1"/>
        <v>102.40634895365359</v>
      </c>
      <c r="I38">
        <f t="shared" si="1"/>
        <v>101.56293621069661</v>
      </c>
      <c r="J38">
        <f t="shared" si="2"/>
        <v>100.84800607163886</v>
      </c>
      <c r="K38">
        <f t="shared" si="2"/>
        <v>100.43775066539115</v>
      </c>
      <c r="L38" s="3">
        <f t="shared" si="5"/>
        <v>0.40846733775876942</v>
      </c>
      <c r="M38">
        <f t="shared" si="6"/>
        <v>0.82815440082997416</v>
      </c>
      <c r="N38">
        <f t="shared" si="3"/>
        <v>0.83043359558578367</v>
      </c>
      <c r="O38" s="3">
        <f t="shared" si="4"/>
        <v>0.41018392041886559</v>
      </c>
    </row>
    <row r="39" spans="1:15" x14ac:dyDescent="0.45">
      <c r="A39">
        <v>38</v>
      </c>
      <c r="B39">
        <v>1.0288058616653939</v>
      </c>
      <c r="C39">
        <v>1.017245847707577</v>
      </c>
      <c r="D39">
        <v>1.156001395781669E-2</v>
      </c>
      <c r="E39">
        <v>38</v>
      </c>
      <c r="F39" t="s">
        <v>7</v>
      </c>
      <c r="G39" s="2">
        <v>46054</v>
      </c>
      <c r="H39">
        <f t="shared" si="1"/>
        <v>102.88058616653939</v>
      </c>
      <c r="I39">
        <f t="shared" si="1"/>
        <v>101.7245847707577</v>
      </c>
      <c r="J39">
        <f t="shared" si="2"/>
        <v>100.46309356571284</v>
      </c>
      <c r="K39">
        <f t="shared" si="2"/>
        <v>100.15916097554107</v>
      </c>
      <c r="L39" s="3">
        <f t="shared" si="5"/>
        <v>0.30344961680139215</v>
      </c>
      <c r="M39">
        <f t="shared" si="6"/>
        <v>1.1316040176313664</v>
      </c>
      <c r="N39">
        <f t="shared" si="3"/>
        <v>1.1364031599507713</v>
      </c>
      <c r="O39" s="3">
        <f t="shared" si="4"/>
        <v>0.30596956436498768</v>
      </c>
    </row>
    <row r="40" spans="1:15" x14ac:dyDescent="0.45">
      <c r="A40">
        <v>39</v>
      </c>
      <c r="B40">
        <v>1.033770511714329</v>
      </c>
      <c r="C40">
        <v>1.0207218120790369</v>
      </c>
      <c r="D40">
        <v>1.3048699635291429E-2</v>
      </c>
      <c r="E40">
        <v>39</v>
      </c>
      <c r="F40" t="s">
        <v>7</v>
      </c>
      <c r="G40" s="2">
        <v>46082</v>
      </c>
      <c r="H40">
        <f t="shared" si="1"/>
        <v>103.3770511714329</v>
      </c>
      <c r="I40">
        <f t="shared" si="1"/>
        <v>102.0721812079037</v>
      </c>
      <c r="J40">
        <f t="shared" si="2"/>
        <v>100.48256432373923</v>
      </c>
      <c r="K40">
        <f t="shared" si="2"/>
        <v>100.34170347112187</v>
      </c>
      <c r="L40" s="3">
        <f t="shared" si="5"/>
        <v>0.14038116530271022</v>
      </c>
      <c r="M40">
        <f t="shared" si="6"/>
        <v>1.2719851829340767</v>
      </c>
      <c r="N40">
        <f t="shared" si="3"/>
        <v>1.278379621251956</v>
      </c>
      <c r="O40" s="3">
        <f t="shared" si="4"/>
        <v>0.14197646130118469</v>
      </c>
    </row>
    <row r="41" spans="1:15" x14ac:dyDescent="0.45">
      <c r="A41">
        <v>40</v>
      </c>
      <c r="B41">
        <v>1.037452110724062</v>
      </c>
      <c r="C41">
        <v>1.0232198956189229</v>
      </c>
      <c r="D41">
        <v>1.4232215105138829E-2</v>
      </c>
      <c r="E41">
        <v>40</v>
      </c>
      <c r="F41" t="s">
        <v>7</v>
      </c>
      <c r="G41" s="2">
        <v>46113</v>
      </c>
      <c r="H41">
        <f t="shared" si="1"/>
        <v>103.74521107240619</v>
      </c>
      <c r="I41">
        <f t="shared" si="1"/>
        <v>102.32198956189229</v>
      </c>
      <c r="J41">
        <f t="shared" si="2"/>
        <v>100.35613310381892</v>
      </c>
      <c r="K41">
        <f t="shared" si="2"/>
        <v>100.2447369606806</v>
      </c>
      <c r="L41" s="3">
        <f t="shared" si="5"/>
        <v>0.11112418119468462</v>
      </c>
      <c r="M41">
        <f t="shared" si="6"/>
        <v>1.3831093641287613</v>
      </c>
      <c r="N41">
        <f>(B41-C41)/C41*100</f>
        <v>1.3909243913333318</v>
      </c>
      <c r="O41" s="3">
        <f>N41-N40</f>
        <v>0.11254477008137576</v>
      </c>
    </row>
    <row r="42" spans="1:15" x14ac:dyDescent="0.45">
      <c r="A42">
        <v>41</v>
      </c>
      <c r="B42">
        <v>1.03921836778024</v>
      </c>
      <c r="C42">
        <v>1.025729615914053</v>
      </c>
      <c r="D42">
        <v>1.3488751866187251E-2</v>
      </c>
      <c r="E42">
        <v>41</v>
      </c>
      <c r="F42" t="s">
        <v>7</v>
      </c>
      <c r="G42" s="2">
        <v>46143</v>
      </c>
      <c r="H42">
        <f t="shared" si="1"/>
        <v>103.921836778024</v>
      </c>
      <c r="I42">
        <f t="shared" si="1"/>
        <v>102.5729615914053</v>
      </c>
      <c r="J42">
        <f t="shared" si="2"/>
        <v>100.1702495024031</v>
      </c>
      <c r="K42">
        <f t="shared" si="2"/>
        <v>100.24527672945726</v>
      </c>
      <c r="L42" s="3">
        <f t="shared" si="5"/>
        <v>-7.4843652989904336E-2</v>
      </c>
      <c r="M42">
        <f t="shared" si="6"/>
        <v>1.3082657111388569</v>
      </c>
      <c r="N42">
        <f t="shared" ref="N42" si="7">(B42-C42)/C42*100</f>
        <v>1.3150397197186192</v>
      </c>
      <c r="O42" s="3">
        <f t="shared" ref="O42" si="8">N42-N41</f>
        <v>-7.5884671614712573E-2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2026-06-19T22:08:38Z</dcterms:created>
  <dcterms:modified xsi:type="dcterms:W3CDTF">2026-06-19T22:12:16Z</dcterms:modified>
</cp:coreProperties>
</file>