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Услуги по всем\"/>
    </mc:Choice>
  </mc:AlternateContent>
  <xr:revisionPtr revIDLastSave="0" documentId="13_ncr:1_{B67C5C8A-3C04-4529-B04A-BD887B5B83D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O41" i="1" s="1"/>
  <c r="I41" i="1"/>
  <c r="K41" i="1" s="1"/>
  <c r="H41" i="1"/>
  <c r="J41" i="1" s="1"/>
  <c r="L41" i="1" s="1"/>
  <c r="N40" i="1"/>
  <c r="O40" i="1" s="1"/>
  <c r="I40" i="1"/>
  <c r="K40" i="1" s="1"/>
  <c r="H40" i="1"/>
  <c r="J40" i="1" s="1"/>
  <c r="L40" i="1" s="1"/>
  <c r="N39" i="1"/>
  <c r="O39" i="1" s="1"/>
  <c r="I39" i="1"/>
  <c r="K39" i="1" s="1"/>
  <c r="H39" i="1"/>
  <c r="J39" i="1" s="1"/>
  <c r="L39" i="1" s="1"/>
  <c r="N38" i="1"/>
  <c r="O38" i="1" s="1"/>
  <c r="I38" i="1"/>
  <c r="K38" i="1" s="1"/>
  <c r="H38" i="1"/>
  <c r="J38" i="1" s="1"/>
  <c r="L38" i="1" s="1"/>
  <c r="N37" i="1"/>
  <c r="O37" i="1" s="1"/>
  <c r="I37" i="1"/>
  <c r="K37" i="1" s="1"/>
  <c r="H37" i="1"/>
  <c r="J37" i="1" s="1"/>
  <c r="L37" i="1" s="1"/>
  <c r="N36" i="1"/>
  <c r="O36" i="1" s="1"/>
  <c r="I36" i="1"/>
  <c r="K36" i="1" s="1"/>
  <c r="H36" i="1"/>
  <c r="J36" i="1" s="1"/>
  <c r="L36" i="1" s="1"/>
  <c r="N35" i="1"/>
  <c r="O35" i="1" s="1"/>
  <c r="I35" i="1"/>
  <c r="K35" i="1" s="1"/>
  <c r="H35" i="1"/>
  <c r="J35" i="1" s="1"/>
  <c r="L35" i="1" s="1"/>
  <c r="M35" i="1" s="1"/>
  <c r="M36" i="1" s="1"/>
  <c r="M37" i="1" s="1"/>
  <c r="M38" i="1" s="1"/>
  <c r="M39" i="1" s="1"/>
  <c r="M40" i="1" s="1"/>
  <c r="M41" i="1" s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<sst xmlns="http://schemas.openxmlformats.org/spreadsheetml/2006/main" count="54" uniqueCount="14">
  <si>
    <t>time_unit</t>
  </si>
  <si>
    <t>real_treatment</t>
  </si>
  <si>
    <t>synthetic_control</t>
  </si>
  <si>
    <t>difference</t>
  </si>
  <si>
    <t>time_period</t>
  </si>
  <si>
    <t>period_type</t>
  </si>
  <si>
    <t>Pre-treatment</t>
  </si>
  <si>
    <t>Post-treatment</t>
  </si>
  <si>
    <t>Treatment</t>
  </si>
  <si>
    <t>Control</t>
  </si>
  <si>
    <t>Эффект</t>
  </si>
  <si>
    <t>Накоп эффект</t>
  </si>
  <si>
    <t>Накоп по формуле с отношением</t>
  </si>
  <si>
    <t>Эффект из накопа 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</si>
</sst>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20" workbookViewId="0">
      <selection activeCell="M43" sqref="M43"/>
    </sheetView>
  </sheetViews>
  <sheetFormatPr defaultRowHeight="14.25" x14ac:dyDescent="0.45"/>
  <cols>
    <col min="7" max="7" width="9.6640625" bestFit="1" customWidth="1"/>
    <col min="14" max="14" width="28.531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</row>
    <row r="2" spans="1:9" x14ac:dyDescent="0.45">
      <c r="A2">
        <v>1</v>
      </c>
      <c r="B2">
        <v>0.79347732834433438</v>
      </c>
      <c r="C2">
        <v>0.79410413552105763</v>
      </c>
      <c r="D2">
        <v>-6.2680717672325414E-4</v>
      </c>
      <c r="E2">
        <v>1</v>
      </c>
      <c r="F2" t="s">
        <v>6</v>
      </c>
      <c r="G2" s="2">
        <v>44927</v>
      </c>
      <c r="H2">
        <f>B2*100</f>
        <v>79.347732834433444</v>
      </c>
      <c r="I2">
        <f>C2*100</f>
        <v>79.410413552105766</v>
      </c>
    </row>
    <row r="3" spans="1:9" x14ac:dyDescent="0.45">
      <c r="A3">
        <v>2</v>
      </c>
      <c r="B3">
        <v>0.79637609847239177</v>
      </c>
      <c r="C3">
        <v>0.79646816285278388</v>
      </c>
      <c r="D3">
        <v>-9.2064380392109513E-5</v>
      </c>
      <c r="E3">
        <v>2</v>
      </c>
      <c r="F3" t="s">
        <v>6</v>
      </c>
      <c r="G3" s="2">
        <v>44958</v>
      </c>
      <c r="H3">
        <f t="shared" ref="H3:I35" si="0">B3*100</f>
        <v>79.637609847239176</v>
      </c>
      <c r="I3">
        <f t="shared" si="0"/>
        <v>79.646816285278391</v>
      </c>
    </row>
    <row r="4" spans="1:9" x14ac:dyDescent="0.45">
      <c r="A4">
        <v>3</v>
      </c>
      <c r="B4">
        <v>0.7993441031414964</v>
      </c>
      <c r="C4">
        <v>0.7997507156115623</v>
      </c>
      <c r="D4">
        <v>-4.0661247006590351E-4</v>
      </c>
      <c r="E4">
        <v>3</v>
      </c>
      <c r="F4" t="s">
        <v>6</v>
      </c>
      <c r="G4" s="2">
        <v>44986</v>
      </c>
      <c r="H4">
        <f t="shared" si="0"/>
        <v>79.934410314149645</v>
      </c>
      <c r="I4">
        <f t="shared" si="0"/>
        <v>79.975071561156227</v>
      </c>
    </row>
    <row r="5" spans="1:9" x14ac:dyDescent="0.45">
      <c r="A5">
        <v>4</v>
      </c>
      <c r="B5">
        <v>0.80442023787864969</v>
      </c>
      <c r="C5">
        <v>0.80315405061290024</v>
      </c>
      <c r="D5">
        <v>1.266187265749452E-3</v>
      </c>
      <c r="E5">
        <v>4</v>
      </c>
      <c r="F5" t="s">
        <v>6</v>
      </c>
      <c r="G5" s="2">
        <v>45017</v>
      </c>
      <c r="H5">
        <f t="shared" si="0"/>
        <v>80.442023787864969</v>
      </c>
      <c r="I5">
        <f t="shared" si="0"/>
        <v>80.315405061290022</v>
      </c>
    </row>
    <row r="6" spans="1:9" x14ac:dyDescent="0.45">
      <c r="A6">
        <v>5</v>
      </c>
      <c r="B6">
        <v>0.8064062569467817</v>
      </c>
      <c r="C6">
        <v>0.80662089405225201</v>
      </c>
      <c r="D6">
        <v>-2.146371054703167E-4</v>
      </c>
      <c r="E6">
        <v>5</v>
      </c>
      <c r="F6" t="s">
        <v>6</v>
      </c>
      <c r="G6" s="2">
        <v>45047</v>
      </c>
      <c r="H6">
        <f t="shared" si="0"/>
        <v>80.640625694678164</v>
      </c>
      <c r="I6">
        <f t="shared" si="0"/>
        <v>80.662089405225203</v>
      </c>
    </row>
    <row r="7" spans="1:9" x14ac:dyDescent="0.45">
      <c r="A7">
        <v>6</v>
      </c>
      <c r="B7">
        <v>0.80992957320986192</v>
      </c>
      <c r="C7">
        <v>0.80954833852784136</v>
      </c>
      <c r="D7">
        <v>3.8123468202055921E-4</v>
      </c>
      <c r="E7">
        <v>6</v>
      </c>
      <c r="F7" t="s">
        <v>6</v>
      </c>
      <c r="G7" s="2">
        <v>45078</v>
      </c>
      <c r="H7">
        <f t="shared" si="0"/>
        <v>80.992957320986193</v>
      </c>
      <c r="I7">
        <f t="shared" si="0"/>
        <v>80.954833852784134</v>
      </c>
    </row>
    <row r="8" spans="1:9" x14ac:dyDescent="0.45">
      <c r="A8">
        <v>7</v>
      </c>
      <c r="B8">
        <v>0.81310316695914386</v>
      </c>
      <c r="C8">
        <v>0.81323376729963937</v>
      </c>
      <c r="D8">
        <v>-1.306003404955014E-4</v>
      </c>
      <c r="E8">
        <v>7</v>
      </c>
      <c r="F8" t="s">
        <v>6</v>
      </c>
      <c r="G8" s="2">
        <v>45108</v>
      </c>
      <c r="H8">
        <f t="shared" si="0"/>
        <v>81.310316695914381</v>
      </c>
      <c r="I8">
        <f t="shared" si="0"/>
        <v>81.32337672996394</v>
      </c>
    </row>
    <row r="9" spans="1:9" x14ac:dyDescent="0.45">
      <c r="A9">
        <v>8</v>
      </c>
      <c r="B9">
        <v>0.8174578840814698</v>
      </c>
      <c r="C9">
        <v>0.81832421280100165</v>
      </c>
      <c r="D9">
        <v>-8.6632871953185031E-4</v>
      </c>
      <c r="E9">
        <v>8</v>
      </c>
      <c r="F9" t="s">
        <v>6</v>
      </c>
      <c r="G9" s="2">
        <v>45139</v>
      </c>
      <c r="H9">
        <f t="shared" si="0"/>
        <v>81.745788408146979</v>
      </c>
      <c r="I9">
        <f t="shared" si="0"/>
        <v>81.832421280100164</v>
      </c>
    </row>
    <row r="10" spans="1:9" x14ac:dyDescent="0.45">
      <c r="A10">
        <v>9</v>
      </c>
      <c r="B10">
        <v>0.82754408436795879</v>
      </c>
      <c r="C10">
        <v>0.82714562637210176</v>
      </c>
      <c r="D10">
        <v>3.9845799585702668E-4</v>
      </c>
      <c r="E10">
        <v>9</v>
      </c>
      <c r="F10" t="s">
        <v>6</v>
      </c>
      <c r="G10" s="2">
        <v>45170</v>
      </c>
      <c r="H10">
        <f t="shared" si="0"/>
        <v>82.754408436795885</v>
      </c>
      <c r="I10">
        <f t="shared" si="0"/>
        <v>82.714562637210179</v>
      </c>
    </row>
    <row r="11" spans="1:9" x14ac:dyDescent="0.45">
      <c r="A11">
        <v>10</v>
      </c>
      <c r="B11">
        <v>0.83663157940824373</v>
      </c>
      <c r="C11">
        <v>0.83659958960298109</v>
      </c>
      <c r="D11">
        <v>3.1989805262644389E-5</v>
      </c>
      <c r="E11">
        <v>10</v>
      </c>
      <c r="F11" t="s">
        <v>6</v>
      </c>
      <c r="G11" s="2">
        <v>45200</v>
      </c>
      <c r="H11">
        <f t="shared" si="0"/>
        <v>83.663157940824377</v>
      </c>
      <c r="I11">
        <f t="shared" si="0"/>
        <v>83.659958960298113</v>
      </c>
    </row>
    <row r="12" spans="1:9" x14ac:dyDescent="0.45">
      <c r="A12">
        <v>11</v>
      </c>
      <c r="B12">
        <v>0.84385042013263811</v>
      </c>
      <c r="C12">
        <v>0.84294255558888487</v>
      </c>
      <c r="D12">
        <v>9.078645437532451E-4</v>
      </c>
      <c r="E12">
        <v>11</v>
      </c>
      <c r="F12" t="s">
        <v>6</v>
      </c>
      <c r="G12" s="2">
        <v>45231</v>
      </c>
      <c r="H12">
        <f t="shared" si="0"/>
        <v>84.385042013263813</v>
      </c>
      <c r="I12">
        <f t="shared" si="0"/>
        <v>84.29425555888848</v>
      </c>
    </row>
    <row r="13" spans="1:9" x14ac:dyDescent="0.45">
      <c r="A13">
        <v>12</v>
      </c>
      <c r="B13">
        <v>0.8482029908343498</v>
      </c>
      <c r="C13">
        <v>0.84834727346746863</v>
      </c>
      <c r="D13">
        <v>-1.4428263311883069E-4</v>
      </c>
      <c r="E13">
        <v>12</v>
      </c>
      <c r="F13" t="s">
        <v>6</v>
      </c>
      <c r="G13" s="2">
        <v>45261</v>
      </c>
      <c r="H13">
        <f t="shared" si="0"/>
        <v>84.820299083434975</v>
      </c>
      <c r="I13">
        <f t="shared" si="0"/>
        <v>84.83472734674686</v>
      </c>
    </row>
    <row r="14" spans="1:9" x14ac:dyDescent="0.45">
      <c r="A14">
        <v>13</v>
      </c>
      <c r="B14">
        <v>0.85371316747049053</v>
      </c>
      <c r="C14">
        <v>0.85459073331587176</v>
      </c>
      <c r="D14">
        <v>-8.7756584538123406E-4</v>
      </c>
      <c r="E14">
        <v>13</v>
      </c>
      <c r="F14" t="s">
        <v>6</v>
      </c>
      <c r="G14" s="2">
        <v>45292</v>
      </c>
      <c r="H14">
        <f t="shared" si="0"/>
        <v>85.37131674704905</v>
      </c>
      <c r="I14">
        <f t="shared" si="0"/>
        <v>85.459073331587177</v>
      </c>
    </row>
    <row r="15" spans="1:9" x14ac:dyDescent="0.45">
      <c r="A15">
        <v>14</v>
      </c>
      <c r="B15">
        <v>0.86005001460120323</v>
      </c>
      <c r="C15">
        <v>0.85970183801444855</v>
      </c>
      <c r="D15">
        <v>3.4817658675467822E-4</v>
      </c>
      <c r="E15">
        <v>14</v>
      </c>
      <c r="F15" t="s">
        <v>6</v>
      </c>
      <c r="G15" s="2">
        <v>45323</v>
      </c>
      <c r="H15">
        <f t="shared" si="0"/>
        <v>86.005001460120326</v>
      </c>
      <c r="I15">
        <f t="shared" si="0"/>
        <v>85.970183801444861</v>
      </c>
    </row>
    <row r="16" spans="1:9" x14ac:dyDescent="0.45">
      <c r="A16">
        <v>15</v>
      </c>
      <c r="B16">
        <v>0.86539213858263098</v>
      </c>
      <c r="C16">
        <v>0.86658494199537273</v>
      </c>
      <c r="D16">
        <v>-1.1928034127417499E-3</v>
      </c>
      <c r="E16">
        <v>15</v>
      </c>
      <c r="F16" t="s">
        <v>6</v>
      </c>
      <c r="G16" s="2">
        <v>45352</v>
      </c>
      <c r="H16">
        <f t="shared" si="0"/>
        <v>86.539213858263096</v>
      </c>
      <c r="I16">
        <f t="shared" si="0"/>
        <v>86.658494199537273</v>
      </c>
    </row>
    <row r="17" spans="1:9" x14ac:dyDescent="0.45">
      <c r="A17">
        <v>16</v>
      </c>
      <c r="B17">
        <v>0.87626669663294343</v>
      </c>
      <c r="C17">
        <v>0.87488242545855066</v>
      </c>
      <c r="D17">
        <v>1.38427117439277E-3</v>
      </c>
      <c r="E17">
        <v>16</v>
      </c>
      <c r="F17" t="s">
        <v>6</v>
      </c>
      <c r="G17" s="2">
        <v>45383</v>
      </c>
      <c r="H17">
        <f t="shared" si="0"/>
        <v>87.626669663294336</v>
      </c>
      <c r="I17">
        <f t="shared" si="0"/>
        <v>87.488242545855073</v>
      </c>
    </row>
    <row r="18" spans="1:9" x14ac:dyDescent="0.45">
      <c r="A18">
        <v>17</v>
      </c>
      <c r="B18">
        <v>0.88198051989571802</v>
      </c>
      <c r="C18">
        <v>0.88167263526930828</v>
      </c>
      <c r="D18">
        <v>3.078846264097379E-4</v>
      </c>
      <c r="E18">
        <v>17</v>
      </c>
      <c r="F18" t="s">
        <v>6</v>
      </c>
      <c r="G18" s="2">
        <v>45413</v>
      </c>
      <c r="H18">
        <f t="shared" si="0"/>
        <v>88.198051989571809</v>
      </c>
      <c r="I18">
        <f t="shared" si="0"/>
        <v>88.167263526930824</v>
      </c>
    </row>
    <row r="19" spans="1:9" x14ac:dyDescent="0.45">
      <c r="A19">
        <v>18</v>
      </c>
      <c r="B19">
        <v>0.88516569163747827</v>
      </c>
      <c r="C19">
        <v>0.8859555431009396</v>
      </c>
      <c r="D19">
        <v>-7.8985146346133295E-4</v>
      </c>
      <c r="E19">
        <v>18</v>
      </c>
      <c r="F19" t="s">
        <v>6</v>
      </c>
      <c r="G19" s="2">
        <v>45444</v>
      </c>
      <c r="H19">
        <f t="shared" si="0"/>
        <v>88.516569163747832</v>
      </c>
      <c r="I19">
        <f t="shared" si="0"/>
        <v>88.595554310093959</v>
      </c>
    </row>
    <row r="20" spans="1:9" x14ac:dyDescent="0.45">
      <c r="A20">
        <v>19</v>
      </c>
      <c r="B20">
        <v>0.88999210659807271</v>
      </c>
      <c r="C20">
        <v>0.88939846489657737</v>
      </c>
      <c r="D20">
        <v>5.936417014953399E-4</v>
      </c>
      <c r="E20">
        <v>19</v>
      </c>
      <c r="F20" t="s">
        <v>6</v>
      </c>
      <c r="G20" s="2">
        <v>45474</v>
      </c>
      <c r="H20">
        <f t="shared" si="0"/>
        <v>88.999210659807275</v>
      </c>
      <c r="I20">
        <f t="shared" si="0"/>
        <v>88.939846489657739</v>
      </c>
    </row>
    <row r="21" spans="1:9" x14ac:dyDescent="0.45">
      <c r="A21">
        <v>20</v>
      </c>
      <c r="B21">
        <v>0.89455771653085303</v>
      </c>
      <c r="C21">
        <v>0.89435392425615279</v>
      </c>
      <c r="D21">
        <v>2.03792274700243E-4</v>
      </c>
      <c r="E21">
        <v>20</v>
      </c>
      <c r="F21" t="s">
        <v>6</v>
      </c>
      <c r="G21" s="2">
        <v>45505</v>
      </c>
      <c r="H21">
        <f t="shared" si="0"/>
        <v>89.455771653085307</v>
      </c>
      <c r="I21">
        <f t="shared" si="0"/>
        <v>89.435392425615277</v>
      </c>
    </row>
    <row r="22" spans="1:9" x14ac:dyDescent="0.45">
      <c r="A22">
        <v>21</v>
      </c>
      <c r="B22">
        <v>0.90512911518404859</v>
      </c>
      <c r="C22">
        <v>0.90593216736850624</v>
      </c>
      <c r="D22">
        <v>-8.0305218445764215E-4</v>
      </c>
      <c r="E22">
        <v>21</v>
      </c>
      <c r="F22" t="s">
        <v>6</v>
      </c>
      <c r="G22" s="2">
        <v>45536</v>
      </c>
      <c r="H22">
        <f t="shared" si="0"/>
        <v>90.512911518404863</v>
      </c>
      <c r="I22">
        <f t="shared" si="0"/>
        <v>90.593216736850621</v>
      </c>
    </row>
    <row r="23" spans="1:9" x14ac:dyDescent="0.45">
      <c r="A23">
        <v>22</v>
      </c>
      <c r="B23">
        <v>0.91690785647149797</v>
      </c>
      <c r="C23">
        <v>0.91772442726496606</v>
      </c>
      <c r="D23">
        <v>-8.1657079346808548E-4</v>
      </c>
      <c r="E23">
        <v>22</v>
      </c>
      <c r="F23" t="s">
        <v>6</v>
      </c>
      <c r="G23" s="2">
        <v>45566</v>
      </c>
      <c r="H23">
        <f t="shared" si="0"/>
        <v>91.690785647149795</v>
      </c>
      <c r="I23">
        <f t="shared" si="0"/>
        <v>91.772442726496607</v>
      </c>
    </row>
    <row r="24" spans="1:9" x14ac:dyDescent="0.45">
      <c r="A24">
        <v>23</v>
      </c>
      <c r="B24">
        <v>0.93378721369350248</v>
      </c>
      <c r="C24">
        <v>0.93195877181765152</v>
      </c>
      <c r="D24">
        <v>1.8284418758509611E-3</v>
      </c>
      <c r="E24">
        <v>23</v>
      </c>
      <c r="F24" t="s">
        <v>6</v>
      </c>
      <c r="G24" s="2">
        <v>45597</v>
      </c>
      <c r="H24">
        <f t="shared" si="0"/>
        <v>93.378721369350245</v>
      </c>
      <c r="I24">
        <f t="shared" si="0"/>
        <v>93.195877181765155</v>
      </c>
    </row>
    <row r="25" spans="1:9" x14ac:dyDescent="0.45">
      <c r="A25">
        <v>24</v>
      </c>
      <c r="B25">
        <v>0.94169162289091568</v>
      </c>
      <c r="C25">
        <v>0.94211497591791249</v>
      </c>
      <c r="D25">
        <v>-4.2335302699680888E-4</v>
      </c>
      <c r="E25">
        <v>24</v>
      </c>
      <c r="F25" t="s">
        <v>6</v>
      </c>
      <c r="G25" s="2">
        <v>45627</v>
      </c>
      <c r="H25">
        <f t="shared" si="0"/>
        <v>94.169162289091574</v>
      </c>
      <c r="I25">
        <f t="shared" si="0"/>
        <v>94.211497591791243</v>
      </c>
    </row>
    <row r="26" spans="1:9" x14ac:dyDescent="0.45">
      <c r="A26">
        <v>25</v>
      </c>
      <c r="B26">
        <v>0.95205132340636178</v>
      </c>
      <c r="C26">
        <v>0.95086221229798851</v>
      </c>
      <c r="D26">
        <v>1.1891111083732751E-3</v>
      </c>
      <c r="E26">
        <v>25</v>
      </c>
      <c r="F26" t="s">
        <v>6</v>
      </c>
      <c r="G26" s="2">
        <v>45658</v>
      </c>
      <c r="H26">
        <f t="shared" si="0"/>
        <v>95.205132340636183</v>
      </c>
      <c r="I26">
        <f t="shared" si="0"/>
        <v>95.086221229798852</v>
      </c>
    </row>
    <row r="27" spans="1:9" x14ac:dyDescent="0.45">
      <c r="A27">
        <v>26</v>
      </c>
      <c r="B27">
        <v>0.95822965011882899</v>
      </c>
      <c r="C27">
        <v>0.95967398627216194</v>
      </c>
      <c r="D27">
        <v>-1.444336153332948E-3</v>
      </c>
      <c r="E27">
        <v>26</v>
      </c>
      <c r="F27" t="s">
        <v>6</v>
      </c>
      <c r="G27" s="2">
        <v>45689</v>
      </c>
      <c r="H27">
        <f t="shared" si="0"/>
        <v>95.8229650118829</v>
      </c>
      <c r="I27">
        <f t="shared" si="0"/>
        <v>95.967398627216198</v>
      </c>
    </row>
    <row r="28" spans="1:9" x14ac:dyDescent="0.45">
      <c r="A28">
        <v>27</v>
      </c>
      <c r="B28">
        <v>0.96594764669834665</v>
      </c>
      <c r="C28">
        <v>0.96678845401150215</v>
      </c>
      <c r="D28">
        <v>-8.408073131555005E-4</v>
      </c>
      <c r="E28">
        <v>27</v>
      </c>
      <c r="F28" t="s">
        <v>6</v>
      </c>
      <c r="G28" s="2">
        <v>45717</v>
      </c>
      <c r="H28">
        <f t="shared" si="0"/>
        <v>96.59476466983466</v>
      </c>
      <c r="I28">
        <f t="shared" si="0"/>
        <v>96.678845401150213</v>
      </c>
    </row>
    <row r="29" spans="1:9" x14ac:dyDescent="0.45">
      <c r="A29">
        <v>28</v>
      </c>
      <c r="B29">
        <v>0.97469822721957788</v>
      </c>
      <c r="C29">
        <v>0.97432159167638366</v>
      </c>
      <c r="D29">
        <v>3.7663554319422587E-4</v>
      </c>
      <c r="E29">
        <v>28</v>
      </c>
      <c r="F29" t="s">
        <v>6</v>
      </c>
      <c r="G29" s="2">
        <v>45748</v>
      </c>
      <c r="H29">
        <f t="shared" si="0"/>
        <v>97.469822721957783</v>
      </c>
      <c r="I29">
        <f t="shared" si="0"/>
        <v>97.43215916763836</v>
      </c>
    </row>
    <row r="30" spans="1:9" x14ac:dyDescent="0.45">
      <c r="A30">
        <v>29</v>
      </c>
      <c r="B30">
        <v>0.98005916977493701</v>
      </c>
      <c r="C30">
        <v>0.97945095640376922</v>
      </c>
      <c r="D30">
        <v>6.0821337116778729E-4</v>
      </c>
      <c r="E30">
        <v>29</v>
      </c>
      <c r="F30" t="s">
        <v>6</v>
      </c>
      <c r="G30" s="2">
        <v>45778</v>
      </c>
      <c r="H30">
        <f t="shared" si="0"/>
        <v>98.005916977493698</v>
      </c>
      <c r="I30">
        <f t="shared" si="0"/>
        <v>97.94509564037692</v>
      </c>
    </row>
    <row r="31" spans="1:9" x14ac:dyDescent="0.45">
      <c r="A31">
        <v>30</v>
      </c>
      <c r="B31">
        <v>0.98440061735348106</v>
      </c>
      <c r="C31">
        <v>0.98473331248670559</v>
      </c>
      <c r="D31">
        <v>-3.3269513322453648E-4</v>
      </c>
      <c r="E31">
        <v>30</v>
      </c>
      <c r="F31" t="s">
        <v>6</v>
      </c>
      <c r="G31" s="2">
        <v>45809</v>
      </c>
      <c r="H31">
        <f t="shared" si="0"/>
        <v>98.44006173534811</v>
      </c>
      <c r="I31">
        <f t="shared" si="0"/>
        <v>98.473331248670561</v>
      </c>
    </row>
    <row r="32" spans="1:9" x14ac:dyDescent="0.45">
      <c r="A32">
        <v>31</v>
      </c>
      <c r="B32">
        <v>0.98980035434062785</v>
      </c>
      <c r="C32">
        <v>0.98900622375709279</v>
      </c>
      <c r="D32">
        <v>7.9413058353505761E-4</v>
      </c>
      <c r="E32">
        <v>31</v>
      </c>
      <c r="F32" t="s">
        <v>6</v>
      </c>
      <c r="G32" s="2">
        <v>45839</v>
      </c>
      <c r="H32">
        <f t="shared" si="0"/>
        <v>98.980035434062785</v>
      </c>
      <c r="I32">
        <f t="shared" si="0"/>
        <v>98.900622375709276</v>
      </c>
    </row>
    <row r="33" spans="1:15" x14ac:dyDescent="0.45">
      <c r="A33">
        <v>32</v>
      </c>
      <c r="B33">
        <v>0.99359988878240402</v>
      </c>
      <c r="C33">
        <v>0.99407661722790075</v>
      </c>
      <c r="D33">
        <v>-4.7672844549673238E-4</v>
      </c>
      <c r="E33">
        <v>32</v>
      </c>
      <c r="F33" t="s">
        <v>6</v>
      </c>
      <c r="G33" s="2">
        <v>45870</v>
      </c>
      <c r="H33">
        <f t="shared" si="0"/>
        <v>99.359988878240401</v>
      </c>
      <c r="I33">
        <f t="shared" si="0"/>
        <v>99.407661722790081</v>
      </c>
    </row>
    <row r="34" spans="1:15" x14ac:dyDescent="0.45">
      <c r="A34">
        <v>33</v>
      </c>
      <c r="B34">
        <v>1</v>
      </c>
      <c r="C34">
        <v>1.000000000008187</v>
      </c>
      <c r="D34">
        <v>-8.1865625389809793E-12</v>
      </c>
      <c r="E34">
        <v>33</v>
      </c>
      <c r="F34" t="s">
        <v>6</v>
      </c>
      <c r="G34" s="2">
        <v>45901</v>
      </c>
      <c r="H34">
        <f t="shared" si="0"/>
        <v>100</v>
      </c>
      <c r="I34">
        <f t="shared" si="0"/>
        <v>100.0000000008187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</row>
    <row r="35" spans="1:15" x14ac:dyDescent="0.45">
      <c r="A35">
        <v>34</v>
      </c>
      <c r="B35">
        <v>1.00770959213708</v>
      </c>
      <c r="C35">
        <v>1.0037693429436469</v>
      </c>
      <c r="D35">
        <v>3.94024919343261E-3</v>
      </c>
      <c r="E35">
        <v>34</v>
      </c>
      <c r="F35" t="s">
        <v>7</v>
      </c>
      <c r="G35" s="2">
        <v>45931</v>
      </c>
      <c r="H35">
        <f t="shared" si="0"/>
        <v>100.770959213708</v>
      </c>
      <c r="I35">
        <f>C35*100</f>
        <v>100.3769342943647</v>
      </c>
      <c r="J35">
        <f>H35/H34*100</f>
        <v>100.770959213708</v>
      </c>
      <c r="K35">
        <f>I35/I34*100</f>
        <v>100.3769342935429</v>
      </c>
      <c r="L35" s="4">
        <f>J35-K35</f>
        <v>0.39402492016509427</v>
      </c>
      <c r="M35">
        <f>L35</f>
        <v>0.39402492016509427</v>
      </c>
      <c r="N35">
        <f>(B35-C35)/C35*100</f>
        <v>0.39254528155620966</v>
      </c>
      <c r="O35" s="3">
        <f>N35</f>
        <v>0.39254528155620966</v>
      </c>
    </row>
    <row r="36" spans="1:15" x14ac:dyDescent="0.45">
      <c r="A36">
        <v>35</v>
      </c>
      <c r="B36">
        <v>1.0150846308369981</v>
      </c>
      <c r="C36">
        <v>1.005744371280574</v>
      </c>
      <c r="D36">
        <v>9.3402595564235913E-3</v>
      </c>
      <c r="E36">
        <v>35</v>
      </c>
      <c r="F36" t="s">
        <v>7</v>
      </c>
      <c r="G36" s="2">
        <v>45962</v>
      </c>
      <c r="H36">
        <f t="shared" ref="H36:I41" si="1">B36*100</f>
        <v>101.50846308369981</v>
      </c>
      <c r="I36">
        <f t="shared" si="1"/>
        <v>100.5744371280574</v>
      </c>
      <c r="J36">
        <f t="shared" ref="J36:K41" si="2">H36/H35*100</f>
        <v>100.73186151620108</v>
      </c>
      <c r="K36">
        <f t="shared" si="2"/>
        <v>100.19676117335234</v>
      </c>
      <c r="L36" s="4">
        <f t="shared" ref="L36:L41" si="3">J36-K36</f>
        <v>0.53510034284873598</v>
      </c>
      <c r="M36">
        <f>M35+L36</f>
        <v>0.92912526301383025</v>
      </c>
      <c r="N36">
        <f t="shared" ref="N36:N40" si="4">(B36-C36)/C36*100</f>
        <v>0.9286912085355703</v>
      </c>
      <c r="O36" s="3">
        <f t="shared" ref="O36:O40" si="5">N36-N35</f>
        <v>0.5361459269793607</v>
      </c>
    </row>
    <row r="37" spans="1:15" x14ac:dyDescent="0.45">
      <c r="A37">
        <v>36</v>
      </c>
      <c r="B37">
        <v>1.0258250523331569</v>
      </c>
      <c r="C37">
        <v>1.009559213591708</v>
      </c>
      <c r="D37">
        <v>1.6265838741448491E-2</v>
      </c>
      <c r="E37">
        <v>36</v>
      </c>
      <c r="F37" t="s">
        <v>7</v>
      </c>
      <c r="G37" s="2">
        <v>45992</v>
      </c>
      <c r="H37">
        <f t="shared" si="1"/>
        <v>102.58250523331569</v>
      </c>
      <c r="I37">
        <f t="shared" si="1"/>
        <v>100.9559213591708</v>
      </c>
      <c r="J37">
        <f t="shared" si="2"/>
        <v>101.0580813825644</v>
      </c>
      <c r="K37">
        <f t="shared" si="2"/>
        <v>100.37930536029516</v>
      </c>
      <c r="L37" s="4">
        <f t="shared" si="3"/>
        <v>0.67877602226923273</v>
      </c>
      <c r="M37">
        <f t="shared" ref="M37:M41" si="6">M36+L37</f>
        <v>1.607901285283063</v>
      </c>
      <c r="N37">
        <f t="shared" si="4"/>
        <v>1.6111822389872479</v>
      </c>
      <c r="O37" s="3">
        <f t="shared" si="5"/>
        <v>0.68249103045167758</v>
      </c>
    </row>
    <row r="38" spans="1:15" x14ac:dyDescent="0.45">
      <c r="A38">
        <v>37</v>
      </c>
      <c r="B38">
        <v>1.0393321811747249</v>
      </c>
      <c r="C38">
        <v>1.0179964274671141</v>
      </c>
      <c r="D38">
        <v>2.1335753707611319E-2</v>
      </c>
      <c r="E38">
        <v>37</v>
      </c>
      <c r="F38" t="s">
        <v>7</v>
      </c>
      <c r="G38" s="2">
        <v>46023</v>
      </c>
      <c r="H38">
        <f t="shared" si="1"/>
        <v>103.93321811747249</v>
      </c>
      <c r="I38">
        <f t="shared" si="1"/>
        <v>101.7996427467114</v>
      </c>
      <c r="J38">
        <f t="shared" si="2"/>
        <v>101.31670881022521</v>
      </c>
      <c r="K38">
        <f t="shared" si="2"/>
        <v>100.83573244261611</v>
      </c>
      <c r="L38" s="4">
        <f t="shared" si="3"/>
        <v>0.48097636760910234</v>
      </c>
      <c r="M38">
        <f t="shared" si="6"/>
        <v>2.0888776528921653</v>
      </c>
      <c r="N38">
        <f t="shared" si="4"/>
        <v>2.0958574246371917</v>
      </c>
      <c r="O38" s="3">
        <f t="shared" si="5"/>
        <v>0.48467518564994383</v>
      </c>
    </row>
    <row r="39" spans="1:15" x14ac:dyDescent="0.45">
      <c r="A39">
        <v>38</v>
      </c>
      <c r="B39">
        <v>1.048077500473716</v>
      </c>
      <c r="C39">
        <v>1.024186768175114</v>
      </c>
      <c r="D39">
        <v>2.3890732298602169E-2</v>
      </c>
      <c r="E39">
        <v>38</v>
      </c>
      <c r="F39" t="s">
        <v>7</v>
      </c>
      <c r="G39" s="2">
        <v>46054</v>
      </c>
      <c r="H39">
        <f t="shared" si="1"/>
        <v>104.8077500473716</v>
      </c>
      <c r="I39">
        <f t="shared" si="1"/>
        <v>102.4186768175114</v>
      </c>
      <c r="J39">
        <f t="shared" si="2"/>
        <v>100.84143640093069</v>
      </c>
      <c r="K39">
        <f t="shared" si="2"/>
        <v>100.60809061220404</v>
      </c>
      <c r="L39" s="4">
        <f t="shared" si="3"/>
        <v>0.2333457887266519</v>
      </c>
      <c r="M39">
        <f t="shared" si="6"/>
        <v>2.3222234416188172</v>
      </c>
      <c r="N39">
        <f t="shared" si="4"/>
        <v>2.3326538714389193</v>
      </c>
      <c r="O39" s="3">
        <f t="shared" si="5"/>
        <v>0.23679644680172762</v>
      </c>
    </row>
    <row r="40" spans="1:15" x14ac:dyDescent="0.45">
      <c r="A40">
        <v>39</v>
      </c>
      <c r="B40">
        <v>1.056374104736727</v>
      </c>
      <c r="C40">
        <v>1.0294677452052741</v>
      </c>
      <c r="D40">
        <v>2.6906359531453591E-2</v>
      </c>
      <c r="E40">
        <v>39</v>
      </c>
      <c r="F40" t="s">
        <v>7</v>
      </c>
      <c r="G40" s="2">
        <v>46082</v>
      </c>
      <c r="H40">
        <f t="shared" si="1"/>
        <v>105.6374104736727</v>
      </c>
      <c r="I40">
        <f t="shared" si="1"/>
        <v>102.94677452052741</v>
      </c>
      <c r="J40">
        <f t="shared" si="2"/>
        <v>100.79160217247876</v>
      </c>
      <c r="K40">
        <f t="shared" si="2"/>
        <v>100.51562636759795</v>
      </c>
      <c r="L40" s="4">
        <f t="shared" si="3"/>
        <v>0.27597580488081519</v>
      </c>
      <c r="M40">
        <f t="shared" si="6"/>
        <v>2.5981992464996324</v>
      </c>
      <c r="N40">
        <f t="shared" si="4"/>
        <v>2.6136185088623485</v>
      </c>
      <c r="O40" s="3">
        <f t="shared" si="5"/>
        <v>0.28096463742342914</v>
      </c>
    </row>
    <row r="41" spans="1:15" x14ac:dyDescent="0.45">
      <c r="A41">
        <v>40</v>
      </c>
      <c r="B41">
        <v>1.063869003873352</v>
      </c>
      <c r="C41">
        <v>1.034896035904008</v>
      </c>
      <c r="D41">
        <v>2.8972967969343569E-2</v>
      </c>
      <c r="E41">
        <v>40</v>
      </c>
      <c r="F41" t="s">
        <v>7</v>
      </c>
      <c r="G41" s="2">
        <v>46113</v>
      </c>
      <c r="H41">
        <f t="shared" si="1"/>
        <v>106.3869003873352</v>
      </c>
      <c r="I41">
        <f t="shared" si="1"/>
        <v>103.4896035904008</v>
      </c>
      <c r="J41">
        <f t="shared" si="2"/>
        <v>100.70949288732261</v>
      </c>
      <c r="K41">
        <f t="shared" si="2"/>
        <v>100.5272909932357</v>
      </c>
      <c r="L41" s="4">
        <f t="shared" si="3"/>
        <v>0.18220189408691567</v>
      </c>
      <c r="M41">
        <f t="shared" si="6"/>
        <v>2.7804011405865481</v>
      </c>
      <c r="N41">
        <f>(B41-C41)/C41*100</f>
        <v>2.7996017922742729</v>
      </c>
      <c r="O41" s="3">
        <f>N41-N40</f>
        <v>0.18598328341192438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2026-05-22T13:02:37Z</dcterms:created>
  <dcterms:modified xsi:type="dcterms:W3CDTF">2026-06-16T13:15:12Z</dcterms:modified>
</cp:coreProperties>
</file>