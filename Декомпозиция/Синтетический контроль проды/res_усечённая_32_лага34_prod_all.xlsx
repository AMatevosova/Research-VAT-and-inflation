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astasia\Documents\Работа\Исследование НДС\С апрелем\Проды по всем\"/>
    </mc:Choice>
  </mc:AlternateContent>
  <xr:revisionPtr revIDLastSave="0" documentId="13_ncr:1_{3C0220FF-20FA-402C-BF98-893731AC4A60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1" i="1" l="1"/>
  <c r="O41" i="1" s="1"/>
  <c r="I41" i="1"/>
  <c r="K41" i="1" s="1"/>
  <c r="H41" i="1"/>
  <c r="J41" i="1" s="1"/>
  <c r="L41" i="1" s="1"/>
  <c r="N40" i="1"/>
  <c r="O40" i="1" s="1"/>
  <c r="I40" i="1"/>
  <c r="K40" i="1" s="1"/>
  <c r="H40" i="1"/>
  <c r="J40" i="1" s="1"/>
  <c r="L40" i="1" s="1"/>
  <c r="N39" i="1"/>
  <c r="O39" i="1" s="1"/>
  <c r="K39" i="1"/>
  <c r="J39" i="1"/>
  <c r="L39" i="1" s="1"/>
  <c r="I39" i="1"/>
  <c r="H39" i="1"/>
  <c r="N38" i="1"/>
  <c r="O38" i="1" s="1"/>
  <c r="I38" i="1"/>
  <c r="K38" i="1" s="1"/>
  <c r="H38" i="1"/>
  <c r="J38" i="1" s="1"/>
  <c r="N37" i="1"/>
  <c r="O37" i="1" s="1"/>
  <c r="I37" i="1"/>
  <c r="K37" i="1" s="1"/>
  <c r="H37" i="1"/>
  <c r="J37" i="1" s="1"/>
  <c r="L37" i="1" s="1"/>
  <c r="N36" i="1"/>
  <c r="O36" i="1" s="1"/>
  <c r="I36" i="1"/>
  <c r="K36" i="1" s="1"/>
  <c r="H36" i="1"/>
  <c r="J36" i="1" s="1"/>
  <c r="L36" i="1" s="1"/>
  <c r="N35" i="1"/>
  <c r="O35" i="1" s="1"/>
  <c r="I35" i="1"/>
  <c r="K35" i="1" s="1"/>
  <c r="H35" i="1"/>
  <c r="J35" i="1" s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H3" i="1"/>
  <c r="I2" i="1"/>
  <c r="H2" i="1"/>
  <c r="L38" i="1" l="1"/>
  <c r="L35" i="1"/>
  <c r="M35" i="1" s="1"/>
  <c r="M36" i="1" s="1"/>
  <c r="M37" i="1" s="1"/>
  <c r="M38" i="1" s="1"/>
  <c r="M39" i="1" s="1"/>
  <c r="M40" i="1" s="1"/>
  <c r="M41" i="1" s="1"/>
</calcChain>
</file>

<file path=xl/sharedStrings.xml><?xml version="1.0" encoding="utf-8"?>
<sst xmlns="http://schemas.openxmlformats.org/spreadsheetml/2006/main" count="54" uniqueCount="14">
  <si>
    <t>time_unit</t>
  </si>
  <si>
    <t>real_treatment</t>
  </si>
  <si>
    <t>synthetic_control</t>
  </si>
  <si>
    <t>difference</t>
  </si>
  <si>
    <t>time_period</t>
  </si>
  <si>
    <t>period_type</t>
  </si>
  <si>
    <t>Pre-treatment</t>
  </si>
  <si>
    <t>Post-treatment</t>
  </si>
  <si>
    <t>Treatment</t>
  </si>
  <si>
    <t>Control</t>
  </si>
  <si>
    <t>Эффект</t>
  </si>
  <si>
    <t>Накоп эффект</t>
  </si>
  <si>
    <t>Накоп по формуле с отношением</t>
  </si>
  <si>
    <t>Эффект из накопа по формуле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</si>
</sst>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2" borderId="0" xfId="0" applyFill="1"/>
    <xf numFmtId="0" fontId="0" fillId="0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1"/>
  <sheetViews>
    <sheetView tabSelected="1" topLeftCell="K28" workbookViewId="0">
      <selection activeCell="M49" sqref="M49"/>
    </sheetView>
  </sheetViews>
  <sheetFormatPr defaultRowHeight="14.25" x14ac:dyDescent="0.45"/>
  <cols>
    <col min="7" max="7" width="9.6640625" bestFit="1" customWidth="1"/>
    <col min="14" max="14" width="28.53125" bestFit="1" customWidth="1"/>
  </cols>
  <sheetData>
    <row r="1" spans="1:9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1</v>
      </c>
      <c r="I1" s="1" t="s">
        <v>2</v>
      </c>
    </row>
    <row r="2" spans="1:9" x14ac:dyDescent="0.45">
      <c r="A2">
        <v>1</v>
      </c>
      <c r="B2">
        <v>0.83505582856752414</v>
      </c>
      <c r="C2">
        <v>0.83498862783074546</v>
      </c>
      <c r="D2">
        <v>6.7200736778683101E-5</v>
      </c>
      <c r="E2">
        <v>1</v>
      </c>
      <c r="F2" t="s">
        <v>6</v>
      </c>
      <c r="G2" s="2">
        <v>44927</v>
      </c>
      <c r="H2">
        <f>B2*100</f>
        <v>83.505582856752412</v>
      </c>
      <c r="I2">
        <f>C2*100</f>
        <v>83.498862783074543</v>
      </c>
    </row>
    <row r="3" spans="1:9" x14ac:dyDescent="0.45">
      <c r="A3">
        <v>2</v>
      </c>
      <c r="B3">
        <v>0.83345558034257938</v>
      </c>
      <c r="C3">
        <v>0.83349918072890317</v>
      </c>
      <c r="D3">
        <v>-4.3600386323783269E-5</v>
      </c>
      <c r="E3">
        <v>2</v>
      </c>
      <c r="F3" t="s">
        <v>6</v>
      </c>
      <c r="G3" s="2">
        <v>44958</v>
      </c>
      <c r="H3">
        <f t="shared" ref="H3:I35" si="0">B3*100</f>
        <v>83.345558034257934</v>
      </c>
      <c r="I3">
        <f t="shared" si="0"/>
        <v>83.349918072890318</v>
      </c>
    </row>
    <row r="4" spans="1:9" x14ac:dyDescent="0.45">
      <c r="A4">
        <v>3</v>
      </c>
      <c r="B4">
        <v>0.83416680169163426</v>
      </c>
      <c r="C4">
        <v>0.83426239520819179</v>
      </c>
      <c r="D4">
        <v>-9.5593516557523905E-5</v>
      </c>
      <c r="E4">
        <v>3</v>
      </c>
      <c r="F4" t="s">
        <v>6</v>
      </c>
      <c r="G4" s="2">
        <v>44986</v>
      </c>
      <c r="H4">
        <f t="shared" si="0"/>
        <v>83.416680169163428</v>
      </c>
      <c r="I4">
        <f t="shared" si="0"/>
        <v>83.42623952081918</v>
      </c>
    </row>
    <row r="5" spans="1:9" x14ac:dyDescent="0.45">
      <c r="A5">
        <v>4</v>
      </c>
      <c r="B5">
        <v>0.83382534170856348</v>
      </c>
      <c r="C5">
        <v>0.83367844822439985</v>
      </c>
      <c r="D5">
        <v>1.468934841636349E-4</v>
      </c>
      <c r="E5">
        <v>4</v>
      </c>
      <c r="F5" t="s">
        <v>6</v>
      </c>
      <c r="G5" s="2">
        <v>45017</v>
      </c>
      <c r="H5">
        <f t="shared" si="0"/>
        <v>83.382534170856346</v>
      </c>
      <c r="I5">
        <f t="shared" si="0"/>
        <v>83.367844822439992</v>
      </c>
    </row>
    <row r="6" spans="1:9" x14ac:dyDescent="0.45">
      <c r="A6">
        <v>5</v>
      </c>
      <c r="B6">
        <v>0.83439201136592411</v>
      </c>
      <c r="C6">
        <v>0.83453443655882764</v>
      </c>
      <c r="D6">
        <v>-1.4242519290352809E-4</v>
      </c>
      <c r="E6">
        <v>5</v>
      </c>
      <c r="F6" t="s">
        <v>6</v>
      </c>
      <c r="G6" s="2">
        <v>45047</v>
      </c>
      <c r="H6">
        <f t="shared" si="0"/>
        <v>83.439201136592416</v>
      </c>
      <c r="I6">
        <f t="shared" si="0"/>
        <v>83.453443655882765</v>
      </c>
    </row>
    <row r="7" spans="1:9" x14ac:dyDescent="0.45">
      <c r="A7">
        <v>6</v>
      </c>
      <c r="B7">
        <v>0.83492072623800262</v>
      </c>
      <c r="C7">
        <v>0.83480834063469145</v>
      </c>
      <c r="D7">
        <v>1.123856033111714E-4</v>
      </c>
      <c r="E7">
        <v>6</v>
      </c>
      <c r="F7" t="s">
        <v>6</v>
      </c>
      <c r="G7" s="2">
        <v>45078</v>
      </c>
      <c r="H7">
        <f t="shared" si="0"/>
        <v>83.492072623800269</v>
      </c>
      <c r="I7">
        <f t="shared" si="0"/>
        <v>83.480834063469146</v>
      </c>
    </row>
    <row r="8" spans="1:9" x14ac:dyDescent="0.45">
      <c r="A8">
        <v>7</v>
      </c>
      <c r="B8">
        <v>0.83600135776164852</v>
      </c>
      <c r="C8">
        <v>0.8360572836816289</v>
      </c>
      <c r="D8">
        <v>-5.5925919980381877E-5</v>
      </c>
      <c r="E8">
        <v>7</v>
      </c>
      <c r="F8" t="s">
        <v>6</v>
      </c>
      <c r="G8" s="2">
        <v>45108</v>
      </c>
      <c r="H8">
        <f t="shared" si="0"/>
        <v>83.600135776164848</v>
      </c>
      <c r="I8">
        <f t="shared" si="0"/>
        <v>83.605728368162886</v>
      </c>
    </row>
    <row r="9" spans="1:9" x14ac:dyDescent="0.45">
      <c r="A9">
        <v>8</v>
      </c>
      <c r="B9">
        <v>0.83834434438921901</v>
      </c>
      <c r="C9">
        <v>0.83828670024063723</v>
      </c>
      <c r="D9">
        <v>5.7644148581781351E-5</v>
      </c>
      <c r="E9">
        <v>8</v>
      </c>
      <c r="F9" t="s">
        <v>6</v>
      </c>
      <c r="G9" s="2">
        <v>45139</v>
      </c>
      <c r="H9">
        <f t="shared" si="0"/>
        <v>83.834434438921903</v>
      </c>
      <c r="I9">
        <f t="shared" si="0"/>
        <v>83.828670024063726</v>
      </c>
    </row>
    <row r="10" spans="1:9" x14ac:dyDescent="0.45">
      <c r="A10">
        <v>9</v>
      </c>
      <c r="B10">
        <v>0.84140078971650056</v>
      </c>
      <c r="C10">
        <v>0.84139427301748304</v>
      </c>
      <c r="D10">
        <v>6.5166990175224981E-6</v>
      </c>
      <c r="E10">
        <v>9</v>
      </c>
      <c r="F10" t="s">
        <v>6</v>
      </c>
      <c r="G10" s="2">
        <v>45170</v>
      </c>
      <c r="H10">
        <f t="shared" si="0"/>
        <v>84.140078971650055</v>
      </c>
      <c r="I10">
        <f t="shared" si="0"/>
        <v>84.139427301748299</v>
      </c>
    </row>
    <row r="11" spans="1:9" x14ac:dyDescent="0.45">
      <c r="A11">
        <v>10</v>
      </c>
      <c r="B11">
        <v>0.84666913527315912</v>
      </c>
      <c r="C11">
        <v>0.8469050563744428</v>
      </c>
      <c r="D11">
        <v>-2.3592110128367591E-4</v>
      </c>
      <c r="E11">
        <v>10</v>
      </c>
      <c r="F11" t="s">
        <v>6</v>
      </c>
      <c r="G11" s="2">
        <v>45200</v>
      </c>
      <c r="H11">
        <f t="shared" si="0"/>
        <v>84.666913527315913</v>
      </c>
      <c r="I11">
        <f t="shared" si="0"/>
        <v>84.690505637444275</v>
      </c>
    </row>
    <row r="12" spans="1:9" x14ac:dyDescent="0.45">
      <c r="A12">
        <v>11</v>
      </c>
      <c r="B12">
        <v>0.852195071575229</v>
      </c>
      <c r="C12">
        <v>0.85186008835525273</v>
      </c>
      <c r="D12">
        <v>3.3498321997627029E-4</v>
      </c>
      <c r="E12">
        <v>11</v>
      </c>
      <c r="F12" t="s">
        <v>6</v>
      </c>
      <c r="G12" s="2">
        <v>45231</v>
      </c>
      <c r="H12">
        <f t="shared" si="0"/>
        <v>85.219507157522898</v>
      </c>
      <c r="I12">
        <f t="shared" si="0"/>
        <v>85.186008835525271</v>
      </c>
    </row>
    <row r="13" spans="1:9" x14ac:dyDescent="0.45">
      <c r="A13">
        <v>12</v>
      </c>
      <c r="B13">
        <v>0.85592363874060906</v>
      </c>
      <c r="C13">
        <v>0.85594021985388458</v>
      </c>
      <c r="D13">
        <v>-1.6581113275515591E-5</v>
      </c>
      <c r="E13">
        <v>12</v>
      </c>
      <c r="F13" t="s">
        <v>6</v>
      </c>
      <c r="G13" s="2">
        <v>45261</v>
      </c>
      <c r="H13">
        <f t="shared" si="0"/>
        <v>85.592363874060908</v>
      </c>
      <c r="I13">
        <f t="shared" si="0"/>
        <v>85.594021985388451</v>
      </c>
    </row>
    <row r="14" spans="1:9" x14ac:dyDescent="0.45">
      <c r="A14">
        <v>13</v>
      </c>
      <c r="B14">
        <v>0.86049204915443001</v>
      </c>
      <c r="C14">
        <v>0.86036815840067649</v>
      </c>
      <c r="D14">
        <v>1.2389075375351941E-4</v>
      </c>
      <c r="E14">
        <v>13</v>
      </c>
      <c r="F14" t="s">
        <v>6</v>
      </c>
      <c r="G14" s="2">
        <v>45292</v>
      </c>
      <c r="H14">
        <f t="shared" si="0"/>
        <v>86.049204915442999</v>
      </c>
      <c r="I14">
        <f t="shared" si="0"/>
        <v>86.036815840067646</v>
      </c>
    </row>
    <row r="15" spans="1:9" x14ac:dyDescent="0.45">
      <c r="A15">
        <v>14</v>
      </c>
      <c r="B15">
        <v>0.86382000348526844</v>
      </c>
      <c r="C15">
        <v>0.86402396334224374</v>
      </c>
      <c r="D15">
        <v>-2.0395985697529981E-4</v>
      </c>
      <c r="E15">
        <v>14</v>
      </c>
      <c r="F15" t="s">
        <v>6</v>
      </c>
      <c r="G15" s="2">
        <v>45323</v>
      </c>
      <c r="H15">
        <f t="shared" si="0"/>
        <v>86.382000348526844</v>
      </c>
      <c r="I15">
        <f t="shared" si="0"/>
        <v>86.402396334224377</v>
      </c>
    </row>
    <row r="16" spans="1:9" x14ac:dyDescent="0.45">
      <c r="A16">
        <v>15</v>
      </c>
      <c r="B16">
        <v>0.8675338664547817</v>
      </c>
      <c r="C16">
        <v>0.86769847388435162</v>
      </c>
      <c r="D16">
        <v>-1.646074295699185E-4</v>
      </c>
      <c r="E16">
        <v>15</v>
      </c>
      <c r="F16" t="s">
        <v>6</v>
      </c>
      <c r="G16" s="2">
        <v>45352</v>
      </c>
      <c r="H16">
        <f t="shared" si="0"/>
        <v>86.753386645478173</v>
      </c>
      <c r="I16">
        <f t="shared" si="0"/>
        <v>86.769847388435167</v>
      </c>
    </row>
    <row r="17" spans="1:9" x14ac:dyDescent="0.45">
      <c r="A17">
        <v>16</v>
      </c>
      <c r="B17">
        <v>0.87515136819867956</v>
      </c>
      <c r="C17">
        <v>0.87502499038859582</v>
      </c>
      <c r="D17">
        <v>1.2637781008373319E-4</v>
      </c>
      <c r="E17">
        <v>16</v>
      </c>
      <c r="F17" t="s">
        <v>6</v>
      </c>
      <c r="G17" s="2">
        <v>45383</v>
      </c>
      <c r="H17">
        <f t="shared" si="0"/>
        <v>87.515136819867962</v>
      </c>
      <c r="I17">
        <f t="shared" si="0"/>
        <v>87.502499038859582</v>
      </c>
    </row>
    <row r="18" spans="1:9" x14ac:dyDescent="0.45">
      <c r="A18">
        <v>17</v>
      </c>
      <c r="B18">
        <v>0.88026733603186225</v>
      </c>
      <c r="C18">
        <v>0.88027787033570226</v>
      </c>
      <c r="D18">
        <v>-1.0534303840015189E-5</v>
      </c>
      <c r="E18">
        <v>17</v>
      </c>
      <c r="F18" t="s">
        <v>6</v>
      </c>
      <c r="G18" s="2">
        <v>45413</v>
      </c>
      <c r="H18">
        <f t="shared" si="0"/>
        <v>88.02673360318623</v>
      </c>
      <c r="I18">
        <f t="shared" si="0"/>
        <v>88.02778703357022</v>
      </c>
    </row>
    <row r="19" spans="1:9" x14ac:dyDescent="0.45">
      <c r="A19">
        <v>18</v>
      </c>
      <c r="B19">
        <v>0.88484303951983967</v>
      </c>
      <c r="C19">
        <v>0.88489133255718466</v>
      </c>
      <c r="D19">
        <v>-4.8293037344993017E-5</v>
      </c>
      <c r="E19">
        <v>18</v>
      </c>
      <c r="F19" t="s">
        <v>6</v>
      </c>
      <c r="G19" s="2">
        <v>45444</v>
      </c>
      <c r="H19">
        <f t="shared" si="0"/>
        <v>88.484303951983961</v>
      </c>
      <c r="I19">
        <f t="shared" si="0"/>
        <v>88.489133255718471</v>
      </c>
    </row>
    <row r="20" spans="1:9" x14ac:dyDescent="0.45">
      <c r="A20">
        <v>19</v>
      </c>
      <c r="B20">
        <v>0.88843791039144882</v>
      </c>
      <c r="C20">
        <v>0.88825446834629429</v>
      </c>
      <c r="D20">
        <v>1.8344204515452489E-4</v>
      </c>
      <c r="E20">
        <v>19</v>
      </c>
      <c r="F20" t="s">
        <v>6</v>
      </c>
      <c r="G20" s="2">
        <v>45474</v>
      </c>
      <c r="H20">
        <f t="shared" si="0"/>
        <v>88.843791039144875</v>
      </c>
      <c r="I20">
        <f t="shared" si="0"/>
        <v>88.825446834629432</v>
      </c>
    </row>
    <row r="21" spans="1:9" x14ac:dyDescent="0.45">
      <c r="A21">
        <v>20</v>
      </c>
      <c r="B21">
        <v>0.8922157366583805</v>
      </c>
      <c r="C21">
        <v>0.8923960018721957</v>
      </c>
      <c r="D21">
        <v>-1.8026521381520061E-4</v>
      </c>
      <c r="E21">
        <v>20</v>
      </c>
      <c r="F21" t="s">
        <v>6</v>
      </c>
      <c r="G21" s="2">
        <v>45505</v>
      </c>
      <c r="H21">
        <f t="shared" si="0"/>
        <v>89.221573665838051</v>
      </c>
      <c r="I21">
        <f t="shared" si="0"/>
        <v>89.239600187219565</v>
      </c>
    </row>
    <row r="22" spans="1:9" x14ac:dyDescent="0.45">
      <c r="A22">
        <v>21</v>
      </c>
      <c r="B22">
        <v>0.898739744099323</v>
      </c>
      <c r="C22">
        <v>0.89877030828281845</v>
      </c>
      <c r="D22">
        <v>-3.0564183495451758E-5</v>
      </c>
      <c r="E22">
        <v>21</v>
      </c>
      <c r="F22" t="s">
        <v>6</v>
      </c>
      <c r="G22" s="2">
        <v>45536</v>
      </c>
      <c r="H22">
        <f t="shared" si="0"/>
        <v>89.873974409932302</v>
      </c>
      <c r="I22">
        <f t="shared" si="0"/>
        <v>89.877030828281846</v>
      </c>
    </row>
    <row r="23" spans="1:9" x14ac:dyDescent="0.45">
      <c r="A23">
        <v>22</v>
      </c>
      <c r="B23">
        <v>0.90891386620499881</v>
      </c>
      <c r="C23">
        <v>0.90880345195478551</v>
      </c>
      <c r="D23">
        <v>1.1041425021329759E-4</v>
      </c>
      <c r="E23">
        <v>22</v>
      </c>
      <c r="F23" t="s">
        <v>6</v>
      </c>
      <c r="G23" s="2">
        <v>45566</v>
      </c>
      <c r="H23">
        <f t="shared" si="0"/>
        <v>90.891386620499887</v>
      </c>
      <c r="I23">
        <f t="shared" si="0"/>
        <v>90.880345195478554</v>
      </c>
    </row>
    <row r="24" spans="1:9" x14ac:dyDescent="0.45">
      <c r="A24">
        <v>23</v>
      </c>
      <c r="B24">
        <v>0.91863565907288647</v>
      </c>
      <c r="C24">
        <v>0.91862557941761758</v>
      </c>
      <c r="D24">
        <v>1.007965526889087E-5</v>
      </c>
      <c r="E24">
        <v>23</v>
      </c>
      <c r="F24" t="s">
        <v>6</v>
      </c>
      <c r="G24" s="2">
        <v>45597</v>
      </c>
      <c r="H24">
        <f t="shared" si="0"/>
        <v>91.863565907288645</v>
      </c>
      <c r="I24">
        <f t="shared" si="0"/>
        <v>91.862557941761764</v>
      </c>
    </row>
    <row r="25" spans="1:9" x14ac:dyDescent="0.45">
      <c r="A25">
        <v>24</v>
      </c>
      <c r="B25">
        <v>0.92967568586754201</v>
      </c>
      <c r="C25">
        <v>0.92964528155135007</v>
      </c>
      <c r="D25">
        <v>3.0404316191945391E-5</v>
      </c>
      <c r="E25">
        <v>24</v>
      </c>
      <c r="F25" t="s">
        <v>6</v>
      </c>
      <c r="G25" s="2">
        <v>45627</v>
      </c>
      <c r="H25">
        <f t="shared" si="0"/>
        <v>92.967568586754197</v>
      </c>
      <c r="I25">
        <f t="shared" si="0"/>
        <v>92.964528155135014</v>
      </c>
    </row>
    <row r="26" spans="1:9" x14ac:dyDescent="0.45">
      <c r="A26">
        <v>25</v>
      </c>
      <c r="B26">
        <v>0.93782303645331055</v>
      </c>
      <c r="C26">
        <v>0.93806559697714376</v>
      </c>
      <c r="D26">
        <v>-2.4256052383320181E-4</v>
      </c>
      <c r="E26">
        <v>25</v>
      </c>
      <c r="F26" t="s">
        <v>6</v>
      </c>
      <c r="G26" s="2">
        <v>45658</v>
      </c>
      <c r="H26">
        <f t="shared" si="0"/>
        <v>93.782303645331055</v>
      </c>
      <c r="I26">
        <f t="shared" si="0"/>
        <v>93.806559697714377</v>
      </c>
    </row>
    <row r="27" spans="1:9" x14ac:dyDescent="0.45">
      <c r="A27">
        <v>26</v>
      </c>
      <c r="B27">
        <v>0.95201478189435151</v>
      </c>
      <c r="C27">
        <v>0.95193197363398252</v>
      </c>
      <c r="D27">
        <v>8.2808260368993913E-5</v>
      </c>
      <c r="E27">
        <v>26</v>
      </c>
      <c r="F27" t="s">
        <v>6</v>
      </c>
      <c r="G27" s="2">
        <v>45689</v>
      </c>
      <c r="H27">
        <f t="shared" si="0"/>
        <v>95.20147818943515</v>
      </c>
      <c r="I27">
        <f t="shared" si="0"/>
        <v>95.193197363398255</v>
      </c>
    </row>
    <row r="28" spans="1:9" x14ac:dyDescent="0.45">
      <c r="A28">
        <v>27</v>
      </c>
      <c r="B28">
        <v>0.96418996616073405</v>
      </c>
      <c r="C28">
        <v>0.96411513291150563</v>
      </c>
      <c r="D28">
        <v>7.4833249228412058E-5</v>
      </c>
      <c r="E28">
        <v>27</v>
      </c>
      <c r="F28" t="s">
        <v>6</v>
      </c>
      <c r="G28" s="2">
        <v>45717</v>
      </c>
      <c r="H28">
        <f t="shared" si="0"/>
        <v>96.4189966160734</v>
      </c>
      <c r="I28">
        <f t="shared" si="0"/>
        <v>96.41151329115057</v>
      </c>
    </row>
    <row r="29" spans="1:9" x14ac:dyDescent="0.45">
      <c r="A29">
        <v>28</v>
      </c>
      <c r="B29">
        <v>0.97440654119625703</v>
      </c>
      <c r="C29">
        <v>0.97428069903371861</v>
      </c>
      <c r="D29">
        <v>1.2584216253841429E-4</v>
      </c>
      <c r="E29">
        <v>28</v>
      </c>
      <c r="F29" t="s">
        <v>6</v>
      </c>
      <c r="G29" s="2">
        <v>45748</v>
      </c>
      <c r="H29">
        <f t="shared" si="0"/>
        <v>97.440654119625705</v>
      </c>
      <c r="I29">
        <f t="shared" si="0"/>
        <v>97.428069903371863</v>
      </c>
    </row>
    <row r="30" spans="1:9" x14ac:dyDescent="0.45">
      <c r="A30">
        <v>29</v>
      </c>
      <c r="B30">
        <v>0.98104902495186441</v>
      </c>
      <c r="C30">
        <v>0.98151250494941944</v>
      </c>
      <c r="D30">
        <v>-4.6347999755502739E-4</v>
      </c>
      <c r="E30">
        <v>29</v>
      </c>
      <c r="F30" t="s">
        <v>6</v>
      </c>
      <c r="G30" s="2">
        <v>45778</v>
      </c>
      <c r="H30">
        <f t="shared" si="0"/>
        <v>98.104902495186437</v>
      </c>
      <c r="I30">
        <f t="shared" si="0"/>
        <v>98.151250494941948</v>
      </c>
    </row>
    <row r="31" spans="1:9" x14ac:dyDescent="0.45">
      <c r="A31">
        <v>30</v>
      </c>
      <c r="B31">
        <v>0.98862407737201241</v>
      </c>
      <c r="C31">
        <v>0.98855807093298276</v>
      </c>
      <c r="D31">
        <v>6.6006439029653308E-5</v>
      </c>
      <c r="E31">
        <v>30</v>
      </c>
      <c r="F31" t="s">
        <v>6</v>
      </c>
      <c r="G31" s="2">
        <v>45809</v>
      </c>
      <c r="H31">
        <f t="shared" si="0"/>
        <v>98.862407737201238</v>
      </c>
      <c r="I31">
        <f t="shared" si="0"/>
        <v>98.855807093298282</v>
      </c>
    </row>
    <row r="32" spans="1:9" x14ac:dyDescent="0.45">
      <c r="A32">
        <v>31</v>
      </c>
      <c r="B32">
        <v>0.9938710488664797</v>
      </c>
      <c r="C32">
        <v>0.99370640338775762</v>
      </c>
      <c r="D32">
        <v>1.646454787220808E-4</v>
      </c>
      <c r="E32">
        <v>31</v>
      </c>
      <c r="F32" t="s">
        <v>6</v>
      </c>
      <c r="G32" s="2">
        <v>45839</v>
      </c>
      <c r="H32">
        <f t="shared" si="0"/>
        <v>99.387104886647975</v>
      </c>
      <c r="I32">
        <f t="shared" si="0"/>
        <v>99.370640338775758</v>
      </c>
    </row>
    <row r="33" spans="1:15" x14ac:dyDescent="0.45">
      <c r="A33">
        <v>32</v>
      </c>
      <c r="B33">
        <v>0.9972495782964681</v>
      </c>
      <c r="C33">
        <v>0.99723469671489362</v>
      </c>
      <c r="D33">
        <v>1.4881581574477391E-5</v>
      </c>
      <c r="E33">
        <v>32</v>
      </c>
      <c r="F33" t="s">
        <v>6</v>
      </c>
      <c r="G33" s="2">
        <v>45870</v>
      </c>
      <c r="H33">
        <f t="shared" si="0"/>
        <v>99.724957829646812</v>
      </c>
      <c r="I33">
        <f t="shared" si="0"/>
        <v>99.723469671489369</v>
      </c>
    </row>
    <row r="34" spans="1:15" x14ac:dyDescent="0.45">
      <c r="A34">
        <v>33</v>
      </c>
      <c r="B34">
        <v>1</v>
      </c>
      <c r="C34">
        <v>0.99999999999875566</v>
      </c>
      <c r="D34">
        <v>1.244337965999875E-12</v>
      </c>
      <c r="E34">
        <v>33</v>
      </c>
      <c r="F34" t="s">
        <v>6</v>
      </c>
      <c r="G34" s="2">
        <v>45901</v>
      </c>
      <c r="H34">
        <f t="shared" si="0"/>
        <v>100</v>
      </c>
      <c r="I34">
        <f t="shared" si="0"/>
        <v>99.99999999987557</v>
      </c>
      <c r="J34" t="s">
        <v>8</v>
      </c>
      <c r="K34" t="s">
        <v>9</v>
      </c>
      <c r="L34" t="s">
        <v>10</v>
      </c>
      <c r="M34" t="s">
        <v>11</v>
      </c>
      <c r="N34" t="s">
        <v>12</v>
      </c>
      <c r="O34" t="s">
        <v>13</v>
      </c>
    </row>
    <row r="35" spans="1:15" x14ac:dyDescent="0.45">
      <c r="A35">
        <v>34</v>
      </c>
      <c r="B35">
        <v>1.006462868446441</v>
      </c>
      <c r="C35">
        <v>1.004068346017565</v>
      </c>
      <c r="D35">
        <v>2.3945224288766109E-3</v>
      </c>
      <c r="E35">
        <v>34</v>
      </c>
      <c r="F35" t="s">
        <v>7</v>
      </c>
      <c r="G35" s="2">
        <v>45931</v>
      </c>
      <c r="H35">
        <f t="shared" si="0"/>
        <v>100.6462868446441</v>
      </c>
      <c r="I35">
        <f>C35*100</f>
        <v>100.4068346017565</v>
      </c>
      <c r="J35">
        <f>H35/H34*100</f>
        <v>100.6462868446441</v>
      </c>
      <c r="K35">
        <f>I35/I34*100</f>
        <v>100.40683460188144</v>
      </c>
      <c r="L35" s="4">
        <f>J35-K35</f>
        <v>0.23945224276265265</v>
      </c>
      <c r="M35">
        <f>L35</f>
        <v>0.23945224276265265</v>
      </c>
      <c r="N35">
        <f>(B35-C35)/C35*100</f>
        <v>0.23848201552945433</v>
      </c>
      <c r="O35" s="3">
        <f>N35</f>
        <v>0.23848201552945433</v>
      </c>
    </row>
    <row r="36" spans="1:15" x14ac:dyDescent="0.45">
      <c r="A36">
        <v>35</v>
      </c>
      <c r="B36">
        <v>1.0106872408392269</v>
      </c>
      <c r="C36">
        <v>1.0066153719418129</v>
      </c>
      <c r="D36">
        <v>4.071868897413955E-3</v>
      </c>
      <c r="E36">
        <v>35</v>
      </c>
      <c r="F36" t="s">
        <v>7</v>
      </c>
      <c r="G36" s="2">
        <v>45962</v>
      </c>
      <c r="H36">
        <f t="shared" ref="H36:I41" si="1">B36*100</f>
        <v>101.06872408392269</v>
      </c>
      <c r="I36">
        <f t="shared" si="1"/>
        <v>100.66153719418129</v>
      </c>
      <c r="J36">
        <f t="shared" ref="J36:K41" si="2">H36/H35*100</f>
        <v>100.41972461431257</v>
      </c>
      <c r="K36">
        <f t="shared" si="2"/>
        <v>100.25367057276033</v>
      </c>
      <c r="L36" s="4">
        <f t="shared" ref="L36:L41" si="3">J36-K36</f>
        <v>0.16605404155224335</v>
      </c>
      <c r="M36">
        <f>M35+L36</f>
        <v>0.40550628431489599</v>
      </c>
      <c r="N36">
        <f t="shared" ref="N36:N40" si="4">(B36-C36)/C36*100</f>
        <v>0.40451089968545878</v>
      </c>
      <c r="O36" s="3">
        <f t="shared" ref="O36:O40" si="5">N36-N35</f>
        <v>0.16602888415600445</v>
      </c>
    </row>
    <row r="37" spans="1:15" x14ac:dyDescent="0.45">
      <c r="A37">
        <v>36</v>
      </c>
      <c r="B37">
        <v>1.015747911668418</v>
      </c>
      <c r="C37">
        <v>1.0105971472841999</v>
      </c>
      <c r="D37">
        <v>5.1507643842174664E-3</v>
      </c>
      <c r="E37">
        <v>36</v>
      </c>
      <c r="F37" t="s">
        <v>7</v>
      </c>
      <c r="G37" s="2">
        <v>45992</v>
      </c>
      <c r="H37">
        <f t="shared" si="1"/>
        <v>101.57479116684181</v>
      </c>
      <c r="I37">
        <f t="shared" si="1"/>
        <v>101.05971472841999</v>
      </c>
      <c r="J37">
        <f t="shared" si="2"/>
        <v>100.50071581243955</v>
      </c>
      <c r="K37">
        <f t="shared" si="2"/>
        <v>100.39556075273377</v>
      </c>
      <c r="L37" s="4">
        <f t="shared" si="3"/>
        <v>0.10515505970577976</v>
      </c>
      <c r="M37">
        <f t="shared" ref="M37:M41" si="6">M36+L37</f>
        <v>0.51066134402067576</v>
      </c>
      <c r="N37">
        <f t="shared" si="4"/>
        <v>0.50967533384196606</v>
      </c>
      <c r="O37" s="3">
        <f t="shared" si="5"/>
        <v>0.10516443415650728</v>
      </c>
    </row>
    <row r="38" spans="1:15" x14ac:dyDescent="0.45">
      <c r="A38">
        <v>37</v>
      </c>
      <c r="B38">
        <v>1.02633692640357</v>
      </c>
      <c r="C38">
        <v>1.0161775328688101</v>
      </c>
      <c r="D38">
        <v>1.0159393534759699E-2</v>
      </c>
      <c r="E38">
        <v>37</v>
      </c>
      <c r="F38" t="s">
        <v>7</v>
      </c>
      <c r="G38" s="2">
        <v>46023</v>
      </c>
      <c r="H38">
        <f t="shared" si="1"/>
        <v>102.633692640357</v>
      </c>
      <c r="I38">
        <f t="shared" si="1"/>
        <v>101.61775328688101</v>
      </c>
      <c r="J38">
        <f t="shared" si="2"/>
        <v>101.04248451938818</v>
      </c>
      <c r="K38">
        <f t="shared" si="2"/>
        <v>100.55218695200223</v>
      </c>
      <c r="L38" s="4">
        <f t="shared" si="3"/>
        <v>0.49029756738595154</v>
      </c>
      <c r="M38">
        <f t="shared" si="6"/>
        <v>1.0009589114066273</v>
      </c>
      <c r="N38">
        <f t="shared" si="4"/>
        <v>0.99976561241996198</v>
      </c>
      <c r="O38" s="3">
        <f t="shared" si="5"/>
        <v>0.49009027857799592</v>
      </c>
    </row>
    <row r="39" spans="1:15" x14ac:dyDescent="0.45">
      <c r="A39">
        <v>38</v>
      </c>
      <c r="B39">
        <v>1.0303888712989071</v>
      </c>
      <c r="C39">
        <v>1.0188243341819301</v>
      </c>
      <c r="D39">
        <v>1.1564537116977251E-2</v>
      </c>
      <c r="E39">
        <v>38</v>
      </c>
      <c r="F39" t="s">
        <v>7</v>
      </c>
      <c r="G39" s="2">
        <v>46054</v>
      </c>
      <c r="H39">
        <f t="shared" si="1"/>
        <v>103.03888712989071</v>
      </c>
      <c r="I39">
        <f t="shared" si="1"/>
        <v>101.882433418193</v>
      </c>
      <c r="J39">
        <f t="shared" si="2"/>
        <v>100.39479675641563</v>
      </c>
      <c r="K39">
        <f t="shared" si="2"/>
        <v>100.26046642712593</v>
      </c>
      <c r="L39" s="4">
        <f t="shared" si="3"/>
        <v>0.13433032928969624</v>
      </c>
      <c r="M39">
        <f t="shared" si="6"/>
        <v>1.1352892406963235</v>
      </c>
      <c r="N39">
        <f t="shared" si="4"/>
        <v>1.1350864647596806</v>
      </c>
      <c r="O39" s="3">
        <f t="shared" si="5"/>
        <v>0.13532085233971858</v>
      </c>
    </row>
    <row r="40" spans="1:15" x14ac:dyDescent="0.45">
      <c r="A40">
        <v>39</v>
      </c>
      <c r="B40">
        <v>1.033498099067067</v>
      </c>
      <c r="C40">
        <v>1.022123897812637</v>
      </c>
      <c r="D40">
        <v>1.137420125443067E-2</v>
      </c>
      <c r="E40">
        <v>39</v>
      </c>
      <c r="F40" t="s">
        <v>7</v>
      </c>
      <c r="G40" s="2">
        <v>46082</v>
      </c>
      <c r="H40">
        <f t="shared" si="1"/>
        <v>103.3498099067067</v>
      </c>
      <c r="I40">
        <f t="shared" si="1"/>
        <v>102.2123897812637</v>
      </c>
      <c r="J40">
        <f t="shared" si="2"/>
        <v>100.3017528483436</v>
      </c>
      <c r="K40">
        <f t="shared" si="2"/>
        <v>100.32385991578778</v>
      </c>
      <c r="L40" s="4">
        <f t="shared" si="3"/>
        <v>-2.2107067444181894E-2</v>
      </c>
      <c r="M40">
        <f t="shared" si="6"/>
        <v>1.1131821732521416</v>
      </c>
      <c r="N40">
        <f t="shared" si="4"/>
        <v>1.11280063784547</v>
      </c>
      <c r="O40" s="3">
        <f t="shared" si="5"/>
        <v>-2.2285826914210549E-2</v>
      </c>
    </row>
    <row r="41" spans="1:15" x14ac:dyDescent="0.45">
      <c r="A41">
        <v>40</v>
      </c>
      <c r="B41">
        <v>1.0377343406886761</v>
      </c>
      <c r="C41">
        <v>1.0258687855800379</v>
      </c>
      <c r="D41">
        <v>1.186555510863818E-2</v>
      </c>
      <c r="E41">
        <v>40</v>
      </c>
      <c r="F41" t="s">
        <v>7</v>
      </c>
      <c r="G41" s="2">
        <v>46113</v>
      </c>
      <c r="H41">
        <f t="shared" si="1"/>
        <v>103.77343406886762</v>
      </c>
      <c r="I41">
        <f t="shared" si="1"/>
        <v>102.58687855800379</v>
      </c>
      <c r="J41">
        <f t="shared" si="2"/>
        <v>100.40989350879632</v>
      </c>
      <c r="K41">
        <f t="shared" si="2"/>
        <v>100.36638295762531</v>
      </c>
      <c r="L41" s="4">
        <f t="shared" si="3"/>
        <v>4.3510551171010547E-2</v>
      </c>
      <c r="M41">
        <f t="shared" si="6"/>
        <v>1.1566927244231522</v>
      </c>
      <c r="N41">
        <f>(B41-C41)/C41*100</f>
        <v>1.1566347739032983</v>
      </c>
      <c r="O41" s="3">
        <f>N41-N40</f>
        <v>4.3834136057828266E-2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Anastasia</cp:lastModifiedBy>
  <dcterms:created xsi:type="dcterms:W3CDTF">2026-05-22T08:12:46Z</dcterms:created>
  <dcterms:modified xsi:type="dcterms:W3CDTF">2026-06-16T13:12:59Z</dcterms:modified>
</cp:coreProperties>
</file>