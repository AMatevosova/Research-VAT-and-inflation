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 апрелем\Непроды по всем\"/>
    </mc:Choice>
  </mc:AlternateContent>
  <xr:revisionPtr revIDLastSave="0" documentId="13_ncr:1_{608A0E27-A8FD-490B-BB1D-FA2E42F45BD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O41" i="1" s="1"/>
  <c r="J41" i="1"/>
  <c r="I41" i="1"/>
  <c r="K41" i="1" s="1"/>
  <c r="H41" i="1"/>
  <c r="N40" i="1"/>
  <c r="O40" i="1" s="1"/>
  <c r="I40" i="1"/>
  <c r="K40" i="1" s="1"/>
  <c r="H40" i="1"/>
  <c r="J40" i="1" s="1"/>
  <c r="L40" i="1" s="1"/>
  <c r="N39" i="1"/>
  <c r="O39" i="1" s="1"/>
  <c r="I39" i="1"/>
  <c r="K39" i="1" s="1"/>
  <c r="H39" i="1"/>
  <c r="J39" i="1" s="1"/>
  <c r="L39" i="1" s="1"/>
  <c r="N38" i="1"/>
  <c r="O38" i="1" s="1"/>
  <c r="K38" i="1"/>
  <c r="I38" i="1"/>
  <c r="H38" i="1"/>
  <c r="J38" i="1" s="1"/>
  <c r="L38" i="1" s="1"/>
  <c r="N37" i="1"/>
  <c r="O37" i="1" s="1"/>
  <c r="I37" i="1"/>
  <c r="K37" i="1" s="1"/>
  <c r="H37" i="1"/>
  <c r="J37" i="1" s="1"/>
  <c r="L37" i="1" s="1"/>
  <c r="N36" i="1"/>
  <c r="O36" i="1" s="1"/>
  <c r="I36" i="1"/>
  <c r="K36" i="1" s="1"/>
  <c r="H36" i="1"/>
  <c r="J36" i="1" s="1"/>
  <c r="L36" i="1" s="1"/>
  <c r="N35" i="1"/>
  <c r="O35" i="1" s="1"/>
  <c r="I35" i="1"/>
  <c r="K35" i="1" s="1"/>
  <c r="H35" i="1"/>
  <c r="J35" i="1" s="1"/>
  <c r="L35" i="1" s="1"/>
  <c r="M35" i="1" s="1"/>
  <c r="M36" i="1" s="1"/>
  <c r="M37" i="1" s="1"/>
  <c r="M38" i="1" s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L41" i="1" l="1"/>
  <c r="M39" i="1"/>
  <c r="M40" i="1" s="1"/>
  <c r="M41" i="1" s="1"/>
</calcChain>
</file>

<file path=xl/sharedStrings.xml><?xml version="1.0" encoding="utf-8"?>
<sst xmlns="http://schemas.openxmlformats.org/spreadsheetml/2006/main" count="54" uniqueCount="14">
  <si>
    <t>time_unit</t>
  </si>
  <si>
    <t>real_treatment</t>
  </si>
  <si>
    <t>synthetic_control</t>
  </si>
  <si>
    <t>difference</t>
  </si>
  <si>
    <t>time_period</t>
  </si>
  <si>
    <t>period_type</t>
  </si>
  <si>
    <t>Pre-treatment</t>
  </si>
  <si>
    <t>Post-treatment</t>
  </si>
  <si>
    <t>Treatment</t>
  </si>
  <si>
    <t>Control</t>
  </si>
  <si>
    <t>Эффект</t>
  </si>
  <si>
    <t>Накоп эффект</t>
  </si>
  <si>
    <t>Накоп по формуле с отношением</t>
  </si>
  <si>
    <t>Эффект из накопа по формуле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</si>
</sst>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A24" workbookViewId="0">
      <selection activeCell="N48" sqref="N48"/>
    </sheetView>
  </sheetViews>
  <sheetFormatPr defaultRowHeight="14.25" x14ac:dyDescent="0.45"/>
  <cols>
    <col min="7" max="7" width="9.6640625" bestFit="1" customWidth="1"/>
    <col min="14" max="14" width="28.53125" bestFit="1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</row>
    <row r="2" spans="1:9" x14ac:dyDescent="0.45">
      <c r="A2">
        <v>1</v>
      </c>
      <c r="B2">
        <v>0.92474821252019734</v>
      </c>
      <c r="C2">
        <v>0.92467055623079375</v>
      </c>
      <c r="D2">
        <v>7.7656289403593703E-5</v>
      </c>
      <c r="E2">
        <v>1</v>
      </c>
      <c r="F2" t="s">
        <v>6</v>
      </c>
      <c r="G2" s="2">
        <v>44927</v>
      </c>
      <c r="H2">
        <f>B2*100</f>
        <v>92.474821252019737</v>
      </c>
      <c r="I2">
        <f>C2*100</f>
        <v>92.467055623079375</v>
      </c>
    </row>
    <row r="3" spans="1:9" x14ac:dyDescent="0.45">
      <c r="A3">
        <v>2</v>
      </c>
      <c r="B3">
        <v>0.92180559820818875</v>
      </c>
      <c r="C3">
        <v>0.92264129596561473</v>
      </c>
      <c r="D3">
        <v>-8.356977574259794E-4</v>
      </c>
      <c r="E3">
        <v>2</v>
      </c>
      <c r="F3" t="s">
        <v>6</v>
      </c>
      <c r="G3" s="2">
        <v>44958</v>
      </c>
      <c r="H3">
        <f t="shared" ref="H3:I35" si="0">B3*100</f>
        <v>92.180559820818871</v>
      </c>
      <c r="I3">
        <f t="shared" si="0"/>
        <v>92.264129596561475</v>
      </c>
    </row>
    <row r="4" spans="1:9" x14ac:dyDescent="0.45">
      <c r="A4">
        <v>3</v>
      </c>
      <c r="B4">
        <v>0.92163884284997122</v>
      </c>
      <c r="C4">
        <v>0.92065890232591585</v>
      </c>
      <c r="D4">
        <v>9.7994052405536713E-4</v>
      </c>
      <c r="E4">
        <v>3</v>
      </c>
      <c r="F4" t="s">
        <v>6</v>
      </c>
      <c r="G4" s="2">
        <v>44986</v>
      </c>
      <c r="H4">
        <f t="shared" si="0"/>
        <v>92.163884284997124</v>
      </c>
      <c r="I4">
        <f t="shared" si="0"/>
        <v>92.065890232591585</v>
      </c>
    </row>
    <row r="5" spans="1:9" x14ac:dyDescent="0.45">
      <c r="A5">
        <v>4</v>
      </c>
      <c r="B5">
        <v>0.92128579817351164</v>
      </c>
      <c r="C5">
        <v>0.92042775961524248</v>
      </c>
      <c r="D5">
        <v>8.5803855826915854E-4</v>
      </c>
      <c r="E5">
        <v>4</v>
      </c>
      <c r="F5" t="s">
        <v>6</v>
      </c>
      <c r="G5" s="2">
        <v>45017</v>
      </c>
      <c r="H5">
        <f t="shared" si="0"/>
        <v>92.128579817351167</v>
      </c>
      <c r="I5">
        <f t="shared" si="0"/>
        <v>92.042775961524242</v>
      </c>
    </row>
    <row r="6" spans="1:9" x14ac:dyDescent="0.45">
      <c r="A6">
        <v>5</v>
      </c>
      <c r="B6">
        <v>0.9209750616044512</v>
      </c>
      <c r="C6">
        <v>0.92093968895245482</v>
      </c>
      <c r="D6">
        <v>3.537265199637929E-5</v>
      </c>
      <c r="E6">
        <v>5</v>
      </c>
      <c r="F6" t="s">
        <v>6</v>
      </c>
      <c r="G6" s="2">
        <v>45047</v>
      </c>
      <c r="H6">
        <f t="shared" si="0"/>
        <v>92.097506160445121</v>
      </c>
      <c r="I6">
        <f t="shared" si="0"/>
        <v>92.093968895245482</v>
      </c>
    </row>
    <row r="7" spans="1:9" x14ac:dyDescent="0.45">
      <c r="A7">
        <v>6</v>
      </c>
      <c r="B7">
        <v>0.91973217794344864</v>
      </c>
      <c r="C7">
        <v>0.92180019372313626</v>
      </c>
      <c r="D7">
        <v>-2.068015779687626E-3</v>
      </c>
      <c r="E7">
        <v>6</v>
      </c>
      <c r="F7" t="s">
        <v>6</v>
      </c>
      <c r="G7" s="2">
        <v>45078</v>
      </c>
      <c r="H7">
        <f t="shared" si="0"/>
        <v>91.973217794344862</v>
      </c>
      <c r="I7">
        <f t="shared" si="0"/>
        <v>92.180019372313623</v>
      </c>
    </row>
    <row r="8" spans="1:9" x14ac:dyDescent="0.45">
      <c r="A8">
        <v>7</v>
      </c>
      <c r="B8">
        <v>0.92448936027668283</v>
      </c>
      <c r="C8">
        <v>0.92374360043503356</v>
      </c>
      <c r="D8">
        <v>7.4575984164926279E-4</v>
      </c>
      <c r="E8">
        <v>7</v>
      </c>
      <c r="F8" t="s">
        <v>6</v>
      </c>
      <c r="G8" s="2">
        <v>45108</v>
      </c>
      <c r="H8">
        <f t="shared" si="0"/>
        <v>92.448936027668282</v>
      </c>
      <c r="I8">
        <f t="shared" si="0"/>
        <v>92.374360043503358</v>
      </c>
    </row>
    <row r="9" spans="1:9" x14ac:dyDescent="0.45">
      <c r="A9">
        <v>8</v>
      </c>
      <c r="B9">
        <v>0.93130275499830395</v>
      </c>
      <c r="C9">
        <v>0.93001565409625897</v>
      </c>
      <c r="D9">
        <v>1.28710090204498E-3</v>
      </c>
      <c r="E9">
        <v>8</v>
      </c>
      <c r="F9" t="s">
        <v>6</v>
      </c>
      <c r="G9" s="2">
        <v>45139</v>
      </c>
      <c r="H9">
        <f t="shared" si="0"/>
        <v>93.13027549983039</v>
      </c>
      <c r="I9">
        <f t="shared" si="0"/>
        <v>93.001565409625897</v>
      </c>
    </row>
    <row r="10" spans="1:9" x14ac:dyDescent="0.45">
      <c r="A10">
        <v>9</v>
      </c>
      <c r="B10">
        <v>0.93700301484358905</v>
      </c>
      <c r="C10">
        <v>0.93793246966282751</v>
      </c>
      <c r="D10">
        <v>-9.2945481923845108E-4</v>
      </c>
      <c r="E10">
        <v>9</v>
      </c>
      <c r="F10" t="s">
        <v>6</v>
      </c>
      <c r="G10" s="2">
        <v>45170</v>
      </c>
      <c r="H10">
        <f t="shared" si="0"/>
        <v>93.700301484358903</v>
      </c>
      <c r="I10">
        <f t="shared" si="0"/>
        <v>93.793246966282751</v>
      </c>
    </row>
    <row r="11" spans="1:9" x14ac:dyDescent="0.45">
      <c r="A11">
        <v>10</v>
      </c>
      <c r="B11">
        <v>0.94376906193324772</v>
      </c>
      <c r="C11">
        <v>0.9440450162230245</v>
      </c>
      <c r="D11">
        <v>-2.7595428977678083E-4</v>
      </c>
      <c r="E11">
        <v>10</v>
      </c>
      <c r="F11" t="s">
        <v>6</v>
      </c>
      <c r="G11" s="2">
        <v>45200</v>
      </c>
      <c r="H11">
        <f t="shared" si="0"/>
        <v>94.376906193324771</v>
      </c>
      <c r="I11">
        <f t="shared" si="0"/>
        <v>94.404501622302448</v>
      </c>
    </row>
    <row r="12" spans="1:9" x14ac:dyDescent="0.45">
      <c r="A12">
        <v>11</v>
      </c>
      <c r="B12">
        <v>0.94675235952662062</v>
      </c>
      <c r="C12">
        <v>0.94633858169302199</v>
      </c>
      <c r="D12">
        <v>4.1377783359863862E-4</v>
      </c>
      <c r="E12">
        <v>11</v>
      </c>
      <c r="F12" t="s">
        <v>6</v>
      </c>
      <c r="G12" s="2">
        <v>45231</v>
      </c>
      <c r="H12">
        <f t="shared" si="0"/>
        <v>94.675235952662064</v>
      </c>
      <c r="I12">
        <f t="shared" si="0"/>
        <v>94.633858169302201</v>
      </c>
    </row>
    <row r="13" spans="1:9" x14ac:dyDescent="0.45">
      <c r="A13">
        <v>12</v>
      </c>
      <c r="B13">
        <v>0.95055243880731621</v>
      </c>
      <c r="C13">
        <v>0.95139089021082224</v>
      </c>
      <c r="D13">
        <v>-8.3845140350602421E-4</v>
      </c>
      <c r="E13">
        <v>12</v>
      </c>
      <c r="F13" t="s">
        <v>6</v>
      </c>
      <c r="G13" s="2">
        <v>45261</v>
      </c>
      <c r="H13">
        <f t="shared" si="0"/>
        <v>95.055243880731624</v>
      </c>
      <c r="I13">
        <f t="shared" si="0"/>
        <v>95.139089021082228</v>
      </c>
    </row>
    <row r="14" spans="1:9" x14ac:dyDescent="0.45">
      <c r="A14">
        <v>13</v>
      </c>
      <c r="B14">
        <v>0.95553999807119516</v>
      </c>
      <c r="C14">
        <v>0.95499293514167005</v>
      </c>
      <c r="D14">
        <v>5.470629295251106E-4</v>
      </c>
      <c r="E14">
        <v>13</v>
      </c>
      <c r="F14" t="s">
        <v>6</v>
      </c>
      <c r="G14" s="2">
        <v>45292</v>
      </c>
      <c r="H14">
        <f t="shared" si="0"/>
        <v>95.55399980711951</v>
      </c>
      <c r="I14">
        <f t="shared" si="0"/>
        <v>95.499293514167007</v>
      </c>
    </row>
    <row r="15" spans="1:9" x14ac:dyDescent="0.45">
      <c r="A15">
        <v>14</v>
      </c>
      <c r="B15">
        <v>0.95862106182970197</v>
      </c>
      <c r="C15">
        <v>0.95864023824277922</v>
      </c>
      <c r="D15">
        <v>-1.9176413077248711E-5</v>
      </c>
      <c r="E15">
        <v>14</v>
      </c>
      <c r="F15" t="s">
        <v>6</v>
      </c>
      <c r="G15" s="2">
        <v>45323</v>
      </c>
      <c r="H15">
        <f t="shared" si="0"/>
        <v>95.862106182970194</v>
      </c>
      <c r="I15">
        <f t="shared" si="0"/>
        <v>95.864023824277922</v>
      </c>
    </row>
    <row r="16" spans="1:9" x14ac:dyDescent="0.45">
      <c r="A16">
        <v>15</v>
      </c>
      <c r="B16">
        <v>0.96152640467447659</v>
      </c>
      <c r="C16">
        <v>0.96182618325299019</v>
      </c>
      <c r="D16">
        <v>-2.9977857851359868E-4</v>
      </c>
      <c r="E16">
        <v>15</v>
      </c>
      <c r="F16" t="s">
        <v>6</v>
      </c>
      <c r="G16" s="2">
        <v>45352</v>
      </c>
      <c r="H16">
        <f t="shared" si="0"/>
        <v>96.152640467447654</v>
      </c>
      <c r="I16">
        <f t="shared" si="0"/>
        <v>96.182618325299018</v>
      </c>
    </row>
    <row r="17" spans="1:9" x14ac:dyDescent="0.45">
      <c r="A17">
        <v>16</v>
      </c>
      <c r="B17">
        <v>0.96428515281490323</v>
      </c>
      <c r="C17">
        <v>0.96391945561474457</v>
      </c>
      <c r="D17">
        <v>3.6569720015866558E-4</v>
      </c>
      <c r="E17">
        <v>16</v>
      </c>
      <c r="F17" t="s">
        <v>6</v>
      </c>
      <c r="G17" s="2">
        <v>45383</v>
      </c>
      <c r="H17">
        <f t="shared" si="0"/>
        <v>96.42851528149032</v>
      </c>
      <c r="I17">
        <f t="shared" si="0"/>
        <v>96.391945561474458</v>
      </c>
    </row>
    <row r="18" spans="1:9" x14ac:dyDescent="0.45">
      <c r="A18">
        <v>17</v>
      </c>
      <c r="B18">
        <v>0.9673579270083783</v>
      </c>
      <c r="C18">
        <v>0.96668624597831665</v>
      </c>
      <c r="D18">
        <v>6.7168103006165492E-4</v>
      </c>
      <c r="E18">
        <v>17</v>
      </c>
      <c r="F18" t="s">
        <v>6</v>
      </c>
      <c r="G18" s="2">
        <v>45413</v>
      </c>
      <c r="H18">
        <f t="shared" si="0"/>
        <v>96.735792700837834</v>
      </c>
      <c r="I18">
        <f t="shared" si="0"/>
        <v>96.668624597831666</v>
      </c>
    </row>
    <row r="19" spans="1:9" x14ac:dyDescent="0.45">
      <c r="A19">
        <v>18</v>
      </c>
      <c r="B19">
        <v>0.96822871023742296</v>
      </c>
      <c r="C19">
        <v>0.96757064197321119</v>
      </c>
      <c r="D19">
        <v>6.5806826421177522E-4</v>
      </c>
      <c r="E19">
        <v>18</v>
      </c>
      <c r="F19" t="s">
        <v>6</v>
      </c>
      <c r="G19" s="2">
        <v>45444</v>
      </c>
      <c r="H19">
        <f t="shared" si="0"/>
        <v>96.822871023742294</v>
      </c>
      <c r="I19">
        <f t="shared" si="0"/>
        <v>96.757064197321114</v>
      </c>
    </row>
    <row r="20" spans="1:9" x14ac:dyDescent="0.45">
      <c r="A20">
        <v>19</v>
      </c>
      <c r="B20">
        <v>0.96982266293118802</v>
      </c>
      <c r="C20">
        <v>0.96945104106156099</v>
      </c>
      <c r="D20">
        <v>3.716218696270257E-4</v>
      </c>
      <c r="E20">
        <v>19</v>
      </c>
      <c r="F20" t="s">
        <v>6</v>
      </c>
      <c r="G20" s="2">
        <v>45474</v>
      </c>
      <c r="H20">
        <f t="shared" si="0"/>
        <v>96.982266293118798</v>
      </c>
      <c r="I20">
        <f t="shared" si="0"/>
        <v>96.945104106156094</v>
      </c>
    </row>
    <row r="21" spans="1:9" x14ac:dyDescent="0.45">
      <c r="A21">
        <v>20</v>
      </c>
      <c r="B21">
        <v>0.97362390819534972</v>
      </c>
      <c r="C21">
        <v>0.97370596790902164</v>
      </c>
      <c r="D21">
        <v>-8.2059713671922552E-5</v>
      </c>
      <c r="E21">
        <v>20</v>
      </c>
      <c r="F21" t="s">
        <v>6</v>
      </c>
      <c r="G21" s="2">
        <v>45505</v>
      </c>
      <c r="H21">
        <f t="shared" si="0"/>
        <v>97.362390819534966</v>
      </c>
      <c r="I21">
        <f t="shared" si="0"/>
        <v>97.370596790902169</v>
      </c>
    </row>
    <row r="22" spans="1:9" x14ac:dyDescent="0.45">
      <c r="A22">
        <v>21</v>
      </c>
      <c r="B22">
        <v>0.97828360698601102</v>
      </c>
      <c r="C22">
        <v>0.97878226303867577</v>
      </c>
      <c r="D22">
        <v>-4.9865605266474766E-4</v>
      </c>
      <c r="E22">
        <v>21</v>
      </c>
      <c r="F22" t="s">
        <v>6</v>
      </c>
      <c r="G22" s="2">
        <v>45536</v>
      </c>
      <c r="H22">
        <f t="shared" si="0"/>
        <v>97.828360698601102</v>
      </c>
      <c r="I22">
        <f t="shared" si="0"/>
        <v>97.878226303867578</v>
      </c>
    </row>
    <row r="23" spans="1:9" x14ac:dyDescent="0.45">
      <c r="A23">
        <v>22</v>
      </c>
      <c r="B23">
        <v>0.98397484214490749</v>
      </c>
      <c r="C23">
        <v>0.98444512573311693</v>
      </c>
      <c r="D23">
        <v>-4.7028358820944138E-4</v>
      </c>
      <c r="E23">
        <v>22</v>
      </c>
      <c r="F23" t="s">
        <v>6</v>
      </c>
      <c r="G23" s="2">
        <v>45566</v>
      </c>
      <c r="H23">
        <f t="shared" si="0"/>
        <v>98.397484214490746</v>
      </c>
      <c r="I23">
        <f t="shared" si="0"/>
        <v>98.444512573311698</v>
      </c>
    </row>
    <row r="24" spans="1:9" x14ac:dyDescent="0.45">
      <c r="A24">
        <v>23</v>
      </c>
      <c r="B24">
        <v>0.98893745299907232</v>
      </c>
      <c r="C24">
        <v>0.99055976186394301</v>
      </c>
      <c r="D24">
        <v>-1.622308864870692E-3</v>
      </c>
      <c r="E24">
        <v>23</v>
      </c>
      <c r="F24" t="s">
        <v>6</v>
      </c>
      <c r="G24" s="2">
        <v>45597</v>
      </c>
      <c r="H24">
        <f t="shared" si="0"/>
        <v>98.893745299907238</v>
      </c>
      <c r="I24">
        <f t="shared" si="0"/>
        <v>99.055976186394304</v>
      </c>
    </row>
    <row r="25" spans="1:9" x14ac:dyDescent="0.45">
      <c r="A25">
        <v>24</v>
      </c>
      <c r="B25">
        <v>0.99865969911733676</v>
      </c>
      <c r="C25">
        <v>0.99830791822807419</v>
      </c>
      <c r="D25">
        <v>3.5178088926257622E-4</v>
      </c>
      <c r="E25">
        <v>24</v>
      </c>
      <c r="F25" t="s">
        <v>6</v>
      </c>
      <c r="G25" s="2">
        <v>45627</v>
      </c>
      <c r="H25">
        <f t="shared" si="0"/>
        <v>99.865969911733671</v>
      </c>
      <c r="I25">
        <f t="shared" si="0"/>
        <v>99.830791822807413</v>
      </c>
    </row>
    <row r="26" spans="1:9" x14ac:dyDescent="0.45">
      <c r="A26">
        <v>25</v>
      </c>
      <c r="B26">
        <v>1.0029366251024501</v>
      </c>
      <c r="C26">
        <v>1.002335671582169</v>
      </c>
      <c r="D26">
        <v>6.0095352028044502E-4</v>
      </c>
      <c r="E26">
        <v>25</v>
      </c>
      <c r="F26" t="s">
        <v>6</v>
      </c>
      <c r="G26" s="2">
        <v>45658</v>
      </c>
      <c r="H26">
        <f t="shared" si="0"/>
        <v>100.29366251024501</v>
      </c>
      <c r="I26">
        <f t="shared" si="0"/>
        <v>100.2335671582169</v>
      </c>
    </row>
    <row r="27" spans="1:9" x14ac:dyDescent="0.45">
      <c r="A27">
        <v>26</v>
      </c>
      <c r="B27">
        <v>1.0056793649348861</v>
      </c>
      <c r="C27">
        <v>1.0032981777411509</v>
      </c>
      <c r="D27">
        <v>2.38118719373559E-3</v>
      </c>
      <c r="E27">
        <v>26</v>
      </c>
      <c r="F27" t="s">
        <v>6</v>
      </c>
      <c r="G27" s="2">
        <v>45689</v>
      </c>
      <c r="H27">
        <f t="shared" si="0"/>
        <v>100.5679364934886</v>
      </c>
      <c r="I27">
        <f t="shared" si="0"/>
        <v>100.3298177741151</v>
      </c>
    </row>
    <row r="28" spans="1:9" x14ac:dyDescent="0.45">
      <c r="A28">
        <v>27</v>
      </c>
      <c r="B28">
        <v>1.005617293059025</v>
      </c>
      <c r="C28">
        <v>1.005434270731363</v>
      </c>
      <c r="D28">
        <v>1.8302232766176371E-4</v>
      </c>
      <c r="E28">
        <v>27</v>
      </c>
      <c r="F28" t="s">
        <v>6</v>
      </c>
      <c r="G28" s="2">
        <v>45717</v>
      </c>
      <c r="H28">
        <f t="shared" si="0"/>
        <v>100.5617293059025</v>
      </c>
      <c r="I28">
        <f t="shared" si="0"/>
        <v>100.5434270731363</v>
      </c>
    </row>
    <row r="29" spans="1:9" x14ac:dyDescent="0.45">
      <c r="A29">
        <v>28</v>
      </c>
      <c r="B29">
        <v>1.0022689430712199</v>
      </c>
      <c r="C29">
        <v>1.0036043270628889</v>
      </c>
      <c r="D29">
        <v>-1.33538399166877E-3</v>
      </c>
      <c r="E29">
        <v>28</v>
      </c>
      <c r="F29" t="s">
        <v>6</v>
      </c>
      <c r="G29" s="2">
        <v>45748</v>
      </c>
      <c r="H29">
        <f t="shared" si="0"/>
        <v>100.226894307122</v>
      </c>
      <c r="I29">
        <f t="shared" si="0"/>
        <v>100.36043270628889</v>
      </c>
    </row>
    <row r="30" spans="1:9" x14ac:dyDescent="0.45">
      <c r="A30">
        <v>29</v>
      </c>
      <c r="B30">
        <v>0.99781557499898921</v>
      </c>
      <c r="C30">
        <v>0.99846157487064791</v>
      </c>
      <c r="D30">
        <v>-6.4599987165869788E-4</v>
      </c>
      <c r="E30">
        <v>29</v>
      </c>
      <c r="F30" t="s">
        <v>6</v>
      </c>
      <c r="G30" s="2">
        <v>45778</v>
      </c>
      <c r="H30">
        <f t="shared" si="0"/>
        <v>99.781557499898923</v>
      </c>
      <c r="I30">
        <f t="shared" si="0"/>
        <v>99.846157487064787</v>
      </c>
    </row>
    <row r="31" spans="1:9" x14ac:dyDescent="0.45">
      <c r="A31">
        <v>30</v>
      </c>
      <c r="B31">
        <v>0.99472743111052697</v>
      </c>
      <c r="C31">
        <v>0.99556405020902672</v>
      </c>
      <c r="D31">
        <v>-8.366190984997468E-4</v>
      </c>
      <c r="E31">
        <v>30</v>
      </c>
      <c r="F31" t="s">
        <v>6</v>
      </c>
      <c r="G31" s="2">
        <v>45809</v>
      </c>
      <c r="H31">
        <f t="shared" si="0"/>
        <v>99.472743111052694</v>
      </c>
      <c r="I31">
        <f t="shared" si="0"/>
        <v>99.556405020902673</v>
      </c>
    </row>
    <row r="32" spans="1:9" x14ac:dyDescent="0.45">
      <c r="A32">
        <v>31</v>
      </c>
      <c r="B32">
        <v>0.99511162829771105</v>
      </c>
      <c r="C32">
        <v>0.99507965334530479</v>
      </c>
      <c r="D32">
        <v>3.1974952406255142E-5</v>
      </c>
      <c r="E32">
        <v>31</v>
      </c>
      <c r="F32" t="s">
        <v>6</v>
      </c>
      <c r="G32" s="2">
        <v>45839</v>
      </c>
      <c r="H32">
        <f t="shared" si="0"/>
        <v>99.511162829771109</v>
      </c>
      <c r="I32">
        <f t="shared" si="0"/>
        <v>99.507965334530482</v>
      </c>
    </row>
    <row r="33" spans="1:15" x14ac:dyDescent="0.45">
      <c r="A33">
        <v>32</v>
      </c>
      <c r="B33">
        <v>0.99798495289434808</v>
      </c>
      <c r="C33">
        <v>0.99733851311788135</v>
      </c>
      <c r="D33">
        <v>6.464397764667229E-4</v>
      </c>
      <c r="E33">
        <v>32</v>
      </c>
      <c r="F33" t="s">
        <v>6</v>
      </c>
      <c r="G33" s="2">
        <v>45870</v>
      </c>
      <c r="H33">
        <f t="shared" si="0"/>
        <v>99.798495289434811</v>
      </c>
      <c r="I33">
        <f t="shared" si="0"/>
        <v>99.733851311788129</v>
      </c>
    </row>
    <row r="34" spans="1:15" x14ac:dyDescent="0.45">
      <c r="A34">
        <v>33</v>
      </c>
      <c r="B34">
        <v>1</v>
      </c>
      <c r="C34">
        <v>0.99999999999573452</v>
      </c>
      <c r="D34">
        <v>4.2654768606098506E-12</v>
      </c>
      <c r="E34">
        <v>33</v>
      </c>
      <c r="F34" t="s">
        <v>6</v>
      </c>
      <c r="G34" s="2">
        <v>45901</v>
      </c>
      <c r="H34">
        <f t="shared" si="0"/>
        <v>100</v>
      </c>
      <c r="I34">
        <f t="shared" si="0"/>
        <v>99.999999999573447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13</v>
      </c>
    </row>
    <row r="35" spans="1:15" x14ac:dyDescent="0.45">
      <c r="A35">
        <v>34</v>
      </c>
      <c r="B35">
        <v>1.0027810276820379</v>
      </c>
      <c r="C35">
        <v>0.99938669922024137</v>
      </c>
      <c r="D35">
        <v>3.394328461796547E-3</v>
      </c>
      <c r="E35">
        <v>34</v>
      </c>
      <c r="F35" t="s">
        <v>7</v>
      </c>
      <c r="G35" s="2">
        <v>45931</v>
      </c>
      <c r="H35">
        <f t="shared" si="0"/>
        <v>100.27810276820379</v>
      </c>
      <c r="I35">
        <f>C35*100</f>
        <v>99.938669922024133</v>
      </c>
      <c r="J35">
        <f>H35/H34*100</f>
        <v>100.27810276820379</v>
      </c>
      <c r="K35">
        <f>I35/I34*100</f>
        <v>99.93866992245043</v>
      </c>
      <c r="L35" s="4">
        <f>J35-K35</f>
        <v>0.33943284575336463</v>
      </c>
      <c r="M35">
        <f>L35</f>
        <v>0.33943284575336463</v>
      </c>
      <c r="N35">
        <f>(B35-C35)/C35*100</f>
        <v>0.33964114836078252</v>
      </c>
      <c r="O35" s="3">
        <f>N35</f>
        <v>0.33964114836078252</v>
      </c>
    </row>
    <row r="36" spans="1:15" x14ac:dyDescent="0.45">
      <c r="A36">
        <v>35</v>
      </c>
      <c r="B36">
        <v>1.0058114846214039</v>
      </c>
      <c r="C36">
        <v>1.0010907199269821</v>
      </c>
      <c r="D36">
        <v>4.7207646944222859E-3</v>
      </c>
      <c r="E36">
        <v>35</v>
      </c>
      <c r="F36" t="s">
        <v>7</v>
      </c>
      <c r="G36" s="2">
        <v>45962</v>
      </c>
      <c r="H36">
        <f t="shared" ref="H36:I41" si="1">B36*100</f>
        <v>100.58114846214039</v>
      </c>
      <c r="I36">
        <f t="shared" si="1"/>
        <v>100.1090719926982</v>
      </c>
      <c r="J36">
        <f t="shared" ref="J36:K41" si="2">H36/H35*100</f>
        <v>100.30220525276302</v>
      </c>
      <c r="K36">
        <f t="shared" si="2"/>
        <v>100.17050664253088</v>
      </c>
      <c r="L36" s="4">
        <f t="shared" ref="L36:L41" si="3">J36-K36</f>
        <v>0.13169861023213514</v>
      </c>
      <c r="M36">
        <f>M35+L36</f>
        <v>0.47113145598549977</v>
      </c>
      <c r="N36">
        <f t="shared" ref="N36:N40" si="4">(B36-C36)/C36*100</f>
        <v>0.4715621272332009</v>
      </c>
      <c r="O36" s="3">
        <f t="shared" ref="O36:O40" si="5">N36-N35</f>
        <v>0.13192097887241838</v>
      </c>
    </row>
    <row r="37" spans="1:15" x14ac:dyDescent="0.45">
      <c r="A37">
        <v>36</v>
      </c>
      <c r="B37">
        <v>1.0099268490508599</v>
      </c>
      <c r="C37">
        <v>1.002799994654475</v>
      </c>
      <c r="D37">
        <v>7.1268543963849407E-3</v>
      </c>
      <c r="E37">
        <v>36</v>
      </c>
      <c r="F37" t="s">
        <v>7</v>
      </c>
      <c r="G37" s="2">
        <v>45992</v>
      </c>
      <c r="H37">
        <f t="shared" si="1"/>
        <v>100.99268490508599</v>
      </c>
      <c r="I37">
        <f t="shared" si="1"/>
        <v>100.2799994654475</v>
      </c>
      <c r="J37">
        <f t="shared" si="2"/>
        <v>100.40915862389512</v>
      </c>
      <c r="K37">
        <f t="shared" si="2"/>
        <v>100.17074124187444</v>
      </c>
      <c r="L37" s="4">
        <f t="shared" si="3"/>
        <v>0.23841738202068541</v>
      </c>
      <c r="M37">
        <f t="shared" ref="M37:M41" si="6">M36+L37</f>
        <v>0.70954883800618518</v>
      </c>
      <c r="N37">
        <f t="shared" si="4"/>
        <v>0.7106954960485985</v>
      </c>
      <c r="O37" s="3">
        <f t="shared" si="5"/>
        <v>0.2391333688153976</v>
      </c>
    </row>
    <row r="38" spans="1:15" x14ac:dyDescent="0.45">
      <c r="A38">
        <v>37</v>
      </c>
      <c r="B38">
        <v>1.014520909500175</v>
      </c>
      <c r="C38">
        <v>1.0041398997335309</v>
      </c>
      <c r="D38">
        <v>1.038100976664413E-2</v>
      </c>
      <c r="E38">
        <v>37</v>
      </c>
      <c r="F38" t="s">
        <v>7</v>
      </c>
      <c r="G38" s="2">
        <v>46023</v>
      </c>
      <c r="H38">
        <f t="shared" si="1"/>
        <v>101.45209095001751</v>
      </c>
      <c r="I38">
        <f t="shared" si="1"/>
        <v>100.4139899733531</v>
      </c>
      <c r="J38">
        <f t="shared" si="2"/>
        <v>100.4548904164329</v>
      </c>
      <c r="K38">
        <f t="shared" si="2"/>
        <v>100.13361638274816</v>
      </c>
      <c r="L38" s="4">
        <f t="shared" si="3"/>
        <v>0.32127403368474461</v>
      </c>
      <c r="M38">
        <f t="shared" si="6"/>
        <v>1.0308228716909298</v>
      </c>
      <c r="N38">
        <f t="shared" si="4"/>
        <v>1.0338210611289271</v>
      </c>
      <c r="O38" s="3">
        <f t="shared" si="5"/>
        <v>0.32312556508032864</v>
      </c>
    </row>
    <row r="39" spans="1:15" x14ac:dyDescent="0.45">
      <c r="A39">
        <v>38</v>
      </c>
      <c r="B39">
        <v>1.017296143612471</v>
      </c>
      <c r="C39">
        <v>1.003141136142484</v>
      </c>
      <c r="D39">
        <v>1.4155007469987879E-2</v>
      </c>
      <c r="E39">
        <v>38</v>
      </c>
      <c r="F39" t="s">
        <v>7</v>
      </c>
      <c r="G39" s="2">
        <v>46054</v>
      </c>
      <c r="H39">
        <f t="shared" si="1"/>
        <v>101.7296143612471</v>
      </c>
      <c r="I39">
        <f t="shared" si="1"/>
        <v>100.3141136142484</v>
      </c>
      <c r="J39">
        <f t="shared" si="2"/>
        <v>100.27355119902488</v>
      </c>
      <c r="K39">
        <f t="shared" si="2"/>
        <v>99.900535414307114</v>
      </c>
      <c r="L39" s="4">
        <f t="shared" si="3"/>
        <v>0.37301578471776509</v>
      </c>
      <c r="M39">
        <f t="shared" si="6"/>
        <v>1.4038386564086949</v>
      </c>
      <c r="N39">
        <f t="shared" si="4"/>
        <v>1.4110683890822362</v>
      </c>
      <c r="O39" s="3">
        <f t="shared" si="5"/>
        <v>0.37724732795330906</v>
      </c>
    </row>
    <row r="40" spans="1:15" x14ac:dyDescent="0.45">
      <c r="A40">
        <v>39</v>
      </c>
      <c r="B40">
        <v>1.0212860668151289</v>
      </c>
      <c r="C40">
        <v>1.004058903590759</v>
      </c>
      <c r="D40">
        <v>1.7227163224369901E-2</v>
      </c>
      <c r="E40">
        <v>39</v>
      </c>
      <c r="F40" t="s">
        <v>7</v>
      </c>
      <c r="G40" s="2">
        <v>46082</v>
      </c>
      <c r="H40">
        <f t="shared" si="1"/>
        <v>102.12860668151289</v>
      </c>
      <c r="I40">
        <f t="shared" si="1"/>
        <v>100.4058903590759</v>
      </c>
      <c r="J40">
        <f t="shared" si="2"/>
        <v>100.3922086235862</v>
      </c>
      <c r="K40">
        <f t="shared" si="2"/>
        <v>100.09148936427871</v>
      </c>
      <c r="L40" s="4">
        <f t="shared" si="3"/>
        <v>0.30071925930748478</v>
      </c>
      <c r="M40">
        <f t="shared" si="6"/>
        <v>1.7045579157161797</v>
      </c>
      <c r="N40">
        <f t="shared" si="4"/>
        <v>1.7157522494707602</v>
      </c>
      <c r="O40" s="3">
        <f t="shared" si="5"/>
        <v>0.30468386038852402</v>
      </c>
    </row>
    <row r="41" spans="1:15" x14ac:dyDescent="0.45">
      <c r="A41">
        <v>40</v>
      </c>
      <c r="B41">
        <v>1.0224924642918931</v>
      </c>
      <c r="C41">
        <v>1.0052115456196531</v>
      </c>
      <c r="D41">
        <v>1.728091867224002E-2</v>
      </c>
      <c r="E41">
        <v>40</v>
      </c>
      <c r="F41" t="s">
        <v>7</v>
      </c>
      <c r="G41" s="2">
        <v>46113</v>
      </c>
      <c r="H41">
        <f t="shared" si="1"/>
        <v>102.24924642918931</v>
      </c>
      <c r="I41">
        <f t="shared" si="1"/>
        <v>100.5211545619653</v>
      </c>
      <c r="J41">
        <f t="shared" si="2"/>
        <v>100.11812532413433</v>
      </c>
      <c r="K41">
        <f t="shared" si="2"/>
        <v>100.1147982478689</v>
      </c>
      <c r="L41" s="4">
        <f t="shared" si="3"/>
        <v>3.3270762654211694E-3</v>
      </c>
      <c r="M41">
        <f t="shared" si="6"/>
        <v>1.7078849919816008</v>
      </c>
      <c r="N41">
        <f>(B41-C41)/C41*100</f>
        <v>1.7191325296196596</v>
      </c>
      <c r="O41" s="3">
        <f>N41-N40</f>
        <v>3.3802801488993506E-3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2026-05-22T11:01:15Z</dcterms:created>
  <dcterms:modified xsi:type="dcterms:W3CDTF">2026-06-16T13:14:28Z</dcterms:modified>
</cp:coreProperties>
</file>